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Danny\출간물\소설처럼 읽고 실행하는 엑셀 VBA\실습\"/>
    </mc:Choice>
  </mc:AlternateContent>
  <xr:revisionPtr revIDLastSave="0" documentId="13_ncr:1_{9D9C5CBA-2EA2-41E4-85DA-E31FE1F9B86A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Sheet1" sheetId="1" r:id="rId1"/>
    <sheet name="Sheet2" sheetId="2" r:id="rId2"/>
    <sheet name="Sheet3" sheetId="3" r:id="rId3"/>
    <sheet name="Sheet4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B2" i="1" l="1"/>
  <c r="AA2" i="1"/>
</calcChain>
</file>

<file path=xl/sharedStrings.xml><?xml version="1.0" encoding="utf-8"?>
<sst xmlns="http://schemas.openxmlformats.org/spreadsheetml/2006/main" count="337" uniqueCount="223">
  <si>
    <t>제품 코드</t>
    <phoneticPr fontId="2" type="noConversion"/>
  </si>
  <si>
    <t>제품 명</t>
    <phoneticPr fontId="2" type="noConversion"/>
  </si>
  <si>
    <t>지난 2년간의 매출 내역</t>
    <phoneticPr fontId="2" type="noConversion"/>
  </si>
  <si>
    <t>BK-R68R-44</t>
  </si>
  <si>
    <t>GL-H102-S</t>
  </si>
  <si>
    <t>PK-7098</t>
  </si>
  <si>
    <t>HB-M918</t>
  </si>
  <si>
    <t>BK-T18Y-50</t>
  </si>
  <si>
    <t>BK-M82B-48</t>
  </si>
  <si>
    <t>BK-R50B-58</t>
  </si>
  <si>
    <t>FR-R92B-58</t>
  </si>
  <si>
    <t>BC-M005</t>
  </si>
  <si>
    <t>GL-F110-M</t>
  </si>
  <si>
    <t>SA-T872</t>
  </si>
  <si>
    <t>HS-3479</t>
  </si>
  <si>
    <t>FR-R72Y-40</t>
  </si>
  <si>
    <t>FR-T67U-44</t>
  </si>
  <si>
    <t>SE-M236</t>
  </si>
  <si>
    <t>LT-T990</t>
  </si>
  <si>
    <t>TI-R982</t>
  </si>
  <si>
    <t>BK-R50B-60</t>
  </si>
  <si>
    <t>RW-M762</t>
  </si>
  <si>
    <t>FR-M21S-44</t>
  </si>
  <si>
    <t>FR-R72R-60</t>
  </si>
  <si>
    <t>RW-T905</t>
  </si>
  <si>
    <t>SB-M891-L</t>
  </si>
  <si>
    <t>BK-R64Y-38</t>
  </si>
  <si>
    <t>FR-M94S-46</t>
  </si>
  <si>
    <t>SA-T467</t>
  </si>
  <si>
    <t>BK-R89B-52</t>
  </si>
  <si>
    <t>BK-T44U-54</t>
  </si>
  <si>
    <t>HB-R504</t>
  </si>
  <si>
    <t>BK-T44U-60</t>
  </si>
  <si>
    <t>BB-9108</t>
  </si>
  <si>
    <t>BK-R68R-60</t>
  </si>
  <si>
    <t>BK-T79Y-50</t>
  </si>
  <si>
    <t>BK-T18U-44</t>
  </si>
  <si>
    <t>FR-R72R-44</t>
  </si>
  <si>
    <t>BK-R89B-58</t>
  </si>
  <si>
    <t>HB-T928</t>
  </si>
  <si>
    <t>PU-0452</t>
  </si>
  <si>
    <t>FK-1639</t>
  </si>
  <si>
    <t>SJ-0194-M</t>
  </si>
  <si>
    <t>FR-R92R-48</t>
  </si>
  <si>
    <t>FK-9939</t>
  </si>
  <si>
    <t>SB-M891-M</t>
  </si>
  <si>
    <t>BK-R89R-58</t>
  </si>
  <si>
    <t>FR-R92B-62</t>
  </si>
  <si>
    <t>BK-R50R-62</t>
  </si>
  <si>
    <t>TI-M823</t>
  </si>
  <si>
    <t>FR-T98U-46</t>
  </si>
  <si>
    <t>LJ-0192-S</t>
  </si>
  <si>
    <t>SA-M237</t>
  </si>
  <si>
    <t>BK-T79Y-46</t>
  </si>
  <si>
    <t>BK-T18Y-58</t>
  </si>
  <si>
    <t>FR-M21S-48</t>
  </si>
  <si>
    <t>Road-450 Red, 44</t>
  </si>
  <si>
    <t>Half-Finger Gloves, S</t>
  </si>
  <si>
    <t>Patch Kit/8 Patches</t>
  </si>
  <si>
    <t>HL Mountain Handlebars</t>
  </si>
  <si>
    <t>Touring-3000 Yellow, 50</t>
  </si>
  <si>
    <t>Mountain-100 Black, 48</t>
  </si>
  <si>
    <t>Road-650 Black, 58</t>
  </si>
  <si>
    <t>HL Road Frame - Black, 58</t>
  </si>
  <si>
    <t>Mountain Bottle Cage</t>
  </si>
  <si>
    <t>Full-Finger Gloves, M</t>
  </si>
  <si>
    <t>HL Touring Seat Assembly</t>
  </si>
  <si>
    <t>HL Headset</t>
  </si>
  <si>
    <t>ML Road Frame-W - Yellow, 40</t>
  </si>
  <si>
    <t>LL Touring Frame - Blue, 44</t>
  </si>
  <si>
    <t>LL Mountain Seat/Saddle</t>
  </si>
  <si>
    <t>Taillights - Battery-Powered</t>
  </si>
  <si>
    <t>HL Road Tire</t>
  </si>
  <si>
    <t>Road-650 Black, 60</t>
  </si>
  <si>
    <t>ML Mountain Rear Wheel</t>
  </si>
  <si>
    <t>LL Mountain Frame - Silver, 44</t>
  </si>
  <si>
    <t>ML Road Frame - Red, 60</t>
  </si>
  <si>
    <t>Touring Rear Wheel</t>
  </si>
  <si>
    <t>Men's Bib-Shorts, L</t>
  </si>
  <si>
    <t>Road-550-W Yellow, 38</t>
  </si>
  <si>
    <t>HL Mountain Frame - Silver, 46</t>
  </si>
  <si>
    <t>LL Touring Seat Assembly</t>
  </si>
  <si>
    <t>Road-250 Black, 52</t>
  </si>
  <si>
    <t>Touring-2000 Blue, 54</t>
  </si>
  <si>
    <t>LL Road Handlebars</t>
  </si>
  <si>
    <t>Touring-2000 Blue, 60</t>
  </si>
  <si>
    <t>HL Bottom Bracket</t>
  </si>
  <si>
    <t>Road-450 Red, 60</t>
  </si>
  <si>
    <t>Touring-1000 Yellow, 50</t>
  </si>
  <si>
    <t>Touring-3000 Blue, 44</t>
  </si>
  <si>
    <t>ML Road Frame - Red, 44</t>
  </si>
  <si>
    <t>Road-250 Black, 58</t>
  </si>
  <si>
    <t>HL Touring Handlebars</t>
  </si>
  <si>
    <t>Minipump</t>
  </si>
  <si>
    <t>LL Fork</t>
  </si>
  <si>
    <t>Short-Sleeve Classic Jersey, M</t>
  </si>
  <si>
    <t>HL Road Frame - Red, 48</t>
  </si>
  <si>
    <t>HL Fork</t>
  </si>
  <si>
    <t>Men's Bib-Shorts, M</t>
  </si>
  <si>
    <t>Road-250 Red, 58</t>
  </si>
  <si>
    <t>HL Road Frame - Black, 62</t>
  </si>
  <si>
    <t>Road-650 Red, 62</t>
  </si>
  <si>
    <t>HL Mountain Tire</t>
  </si>
  <si>
    <t>HL Touring Frame - Blue, 46</t>
  </si>
  <si>
    <t>Long-Sleeve Logo Jersey, S</t>
  </si>
  <si>
    <t>ML Mountain Seat Assembly</t>
  </si>
  <si>
    <t>Touring-1000 Yellow, 46</t>
  </si>
  <si>
    <t>Touring-3000 Yellow, 58</t>
  </si>
  <si>
    <t>LL Mountain Frame - Silver, 48</t>
  </si>
  <si>
    <t>향후 1년간의 매출 흐름</t>
    <phoneticPr fontId="2" type="noConversion"/>
  </si>
  <si>
    <t>결품 목표</t>
    <phoneticPr fontId="2" type="noConversion"/>
  </si>
  <si>
    <t>리드타임</t>
    <phoneticPr fontId="2" type="noConversion"/>
  </si>
  <si>
    <t>안전재고</t>
    <phoneticPr fontId="2" type="noConversion"/>
  </si>
  <si>
    <t>수요의 표준편차</t>
    <phoneticPr fontId="2" type="noConversion"/>
  </si>
  <si>
    <t>BK-R68R-44</t>
    <phoneticPr fontId="2" type="noConversion"/>
  </si>
  <si>
    <t>Road-450 Red, 44</t>
    <phoneticPr fontId="2" type="noConversion"/>
  </si>
  <si>
    <t>GL-H102-S</t>
    <phoneticPr fontId="2" type="noConversion"/>
  </si>
  <si>
    <t>Half-Finger Gloves, S</t>
    <phoneticPr fontId="2" type="noConversion"/>
  </si>
  <si>
    <t>PK-7098</t>
    <phoneticPr fontId="2" type="noConversion"/>
  </si>
  <si>
    <t>Patch Kit/8 Patches</t>
    <phoneticPr fontId="2" type="noConversion"/>
  </si>
  <si>
    <t>HB-M918</t>
    <phoneticPr fontId="2" type="noConversion"/>
  </si>
  <si>
    <t>HL Mountain Handlebars</t>
    <phoneticPr fontId="2" type="noConversion"/>
  </si>
  <si>
    <t>BK-T18Y-50</t>
    <phoneticPr fontId="2" type="noConversion"/>
  </si>
  <si>
    <t>Touring-3000 Yellow, 50</t>
    <phoneticPr fontId="2" type="noConversion"/>
  </si>
  <si>
    <t>BK-M82B-48</t>
    <phoneticPr fontId="2" type="noConversion"/>
  </si>
  <si>
    <t>Mountain-100 Black, 48</t>
    <phoneticPr fontId="2" type="noConversion"/>
  </si>
  <si>
    <t>BK-R50B-58</t>
    <phoneticPr fontId="2" type="noConversion"/>
  </si>
  <si>
    <t>Road-650 Black, 58</t>
    <phoneticPr fontId="2" type="noConversion"/>
  </si>
  <si>
    <t>FR-R92B-58</t>
    <phoneticPr fontId="2" type="noConversion"/>
  </si>
  <si>
    <t>HL Road Frame - Black, 58</t>
    <phoneticPr fontId="2" type="noConversion"/>
  </si>
  <si>
    <t>BC-M005</t>
    <phoneticPr fontId="2" type="noConversion"/>
  </si>
  <si>
    <t>Mountain Bottle Cage</t>
    <phoneticPr fontId="2" type="noConversion"/>
  </si>
  <si>
    <t>GL-F110-M</t>
    <phoneticPr fontId="2" type="noConversion"/>
  </si>
  <si>
    <t>Full-Finger Gloves, M</t>
    <phoneticPr fontId="2" type="noConversion"/>
  </si>
  <si>
    <t>SA-T872</t>
    <phoneticPr fontId="2" type="noConversion"/>
  </si>
  <si>
    <t>HL Touring Seat Assembly</t>
    <phoneticPr fontId="2" type="noConversion"/>
  </si>
  <si>
    <t>HS-3479</t>
    <phoneticPr fontId="2" type="noConversion"/>
  </si>
  <si>
    <t>HL Headset</t>
    <phoneticPr fontId="2" type="noConversion"/>
  </si>
  <si>
    <t>FR-R72Y-40</t>
    <phoneticPr fontId="2" type="noConversion"/>
  </si>
  <si>
    <t>ML Road Frame-W - Yellow, 40</t>
    <phoneticPr fontId="2" type="noConversion"/>
  </si>
  <si>
    <t>FR-T67U-44</t>
    <phoneticPr fontId="2" type="noConversion"/>
  </si>
  <si>
    <t>LL Touring Frame - Blue, 44</t>
    <phoneticPr fontId="2" type="noConversion"/>
  </si>
  <si>
    <t>SE-M236</t>
    <phoneticPr fontId="2" type="noConversion"/>
  </si>
  <si>
    <t>LL Mountain Seat/Saddle</t>
    <phoneticPr fontId="2" type="noConversion"/>
  </si>
  <si>
    <t>LT-T990</t>
    <phoneticPr fontId="2" type="noConversion"/>
  </si>
  <si>
    <t>Taillights - Battery-Powered</t>
    <phoneticPr fontId="2" type="noConversion"/>
  </si>
  <si>
    <t>TI-R982</t>
    <phoneticPr fontId="2" type="noConversion"/>
  </si>
  <si>
    <t>HL Road Tire</t>
    <phoneticPr fontId="2" type="noConversion"/>
  </si>
  <si>
    <t>BK-R50B-60</t>
    <phoneticPr fontId="2" type="noConversion"/>
  </si>
  <si>
    <t>Road-650 Black, 60</t>
    <phoneticPr fontId="2" type="noConversion"/>
  </si>
  <si>
    <t>RW-M762</t>
    <phoneticPr fontId="2" type="noConversion"/>
  </si>
  <si>
    <t>ML Mountain Rear Wheel</t>
    <phoneticPr fontId="2" type="noConversion"/>
  </si>
  <si>
    <t>FR-M21S-44</t>
    <phoneticPr fontId="2" type="noConversion"/>
  </si>
  <si>
    <t>LL Mountain Frame - Silver, 44</t>
    <phoneticPr fontId="2" type="noConversion"/>
  </si>
  <si>
    <t>FR-R72R-60</t>
    <phoneticPr fontId="2" type="noConversion"/>
  </si>
  <si>
    <t>ML Road Frame - Red, 60</t>
    <phoneticPr fontId="2" type="noConversion"/>
  </si>
  <si>
    <t>RW-T905</t>
    <phoneticPr fontId="2" type="noConversion"/>
  </si>
  <si>
    <t>Touring Rear Wheel</t>
    <phoneticPr fontId="2" type="noConversion"/>
  </si>
  <si>
    <t>SB-M891-L</t>
    <phoneticPr fontId="2" type="noConversion"/>
  </si>
  <si>
    <t>Men's Bib-Shorts, L</t>
    <phoneticPr fontId="2" type="noConversion"/>
  </si>
  <si>
    <t>BK-R64Y-38</t>
    <phoneticPr fontId="2" type="noConversion"/>
  </si>
  <si>
    <t>Road-550-W Yellow, 38</t>
    <phoneticPr fontId="2" type="noConversion"/>
  </si>
  <si>
    <t>FR-M94S-46</t>
    <phoneticPr fontId="2" type="noConversion"/>
  </si>
  <si>
    <t>HL Mountain Frame - Silver, 46</t>
    <phoneticPr fontId="2" type="noConversion"/>
  </si>
  <si>
    <t>SA-T467</t>
    <phoneticPr fontId="2" type="noConversion"/>
  </si>
  <si>
    <t>LL Touring Seat Assembly</t>
    <phoneticPr fontId="2" type="noConversion"/>
  </si>
  <si>
    <t>BK-R89B-52</t>
    <phoneticPr fontId="2" type="noConversion"/>
  </si>
  <si>
    <t>Road-250 Black, 52</t>
    <phoneticPr fontId="2" type="noConversion"/>
  </si>
  <si>
    <t>BK-T44U-54</t>
    <phoneticPr fontId="2" type="noConversion"/>
  </si>
  <si>
    <t>Touring-2000 Blue, 54</t>
    <phoneticPr fontId="2" type="noConversion"/>
  </si>
  <si>
    <t>HB-R504</t>
    <phoneticPr fontId="2" type="noConversion"/>
  </si>
  <si>
    <t>LL Road Handlebars</t>
    <phoneticPr fontId="2" type="noConversion"/>
  </si>
  <si>
    <t>BK-T44U-60</t>
    <phoneticPr fontId="2" type="noConversion"/>
  </si>
  <si>
    <t>Touring-2000 Blue, 60</t>
    <phoneticPr fontId="2" type="noConversion"/>
  </si>
  <si>
    <t>BB-9108</t>
    <phoneticPr fontId="2" type="noConversion"/>
  </si>
  <si>
    <t>HL Bottom Bracket</t>
    <phoneticPr fontId="2" type="noConversion"/>
  </si>
  <si>
    <t>BK-R68R-60</t>
    <phoneticPr fontId="2" type="noConversion"/>
  </si>
  <si>
    <t>Road-450 Red, 60</t>
    <phoneticPr fontId="2" type="noConversion"/>
  </si>
  <si>
    <t>BK-T79Y-50</t>
    <phoneticPr fontId="2" type="noConversion"/>
  </si>
  <si>
    <t>Touring-1000 Yellow, 50</t>
    <phoneticPr fontId="2" type="noConversion"/>
  </si>
  <si>
    <t>BK-T18U-44</t>
    <phoneticPr fontId="2" type="noConversion"/>
  </si>
  <si>
    <t>Touring-3000 Blue, 44</t>
    <phoneticPr fontId="2" type="noConversion"/>
  </si>
  <si>
    <t>FR-R72R-44</t>
    <phoneticPr fontId="2" type="noConversion"/>
  </si>
  <si>
    <t>ML Road Frame - Red, 44</t>
    <phoneticPr fontId="2" type="noConversion"/>
  </si>
  <si>
    <t>BK-R89B-58</t>
    <phoneticPr fontId="2" type="noConversion"/>
  </si>
  <si>
    <t>Road-250 Black, 58</t>
    <phoneticPr fontId="2" type="noConversion"/>
  </si>
  <si>
    <t>HB-T928</t>
    <phoneticPr fontId="2" type="noConversion"/>
  </si>
  <si>
    <t>HL Touring Handlebars</t>
    <phoneticPr fontId="2" type="noConversion"/>
  </si>
  <si>
    <t>PU-0452</t>
    <phoneticPr fontId="2" type="noConversion"/>
  </si>
  <si>
    <t>Minipump</t>
    <phoneticPr fontId="2" type="noConversion"/>
  </si>
  <si>
    <t>FK-1639</t>
    <phoneticPr fontId="2" type="noConversion"/>
  </si>
  <si>
    <t>LL Fork</t>
    <phoneticPr fontId="2" type="noConversion"/>
  </si>
  <si>
    <t>SJ-0194-M</t>
    <phoneticPr fontId="2" type="noConversion"/>
  </si>
  <si>
    <t>Short-Sleeve Classic Jersey, M</t>
    <phoneticPr fontId="2" type="noConversion"/>
  </si>
  <si>
    <t>FR-R92R-48</t>
    <phoneticPr fontId="2" type="noConversion"/>
  </si>
  <si>
    <t>HL Road Frame - Red, 48</t>
    <phoneticPr fontId="2" type="noConversion"/>
  </si>
  <si>
    <t>FK-9939</t>
    <phoneticPr fontId="2" type="noConversion"/>
  </si>
  <si>
    <t>HL Fork</t>
    <phoneticPr fontId="2" type="noConversion"/>
  </si>
  <si>
    <t>SB-M891-M</t>
    <phoneticPr fontId="2" type="noConversion"/>
  </si>
  <si>
    <t>Men's Bib-Shorts, M</t>
    <phoneticPr fontId="2" type="noConversion"/>
  </si>
  <si>
    <t>BK-R89R-58</t>
    <phoneticPr fontId="2" type="noConversion"/>
  </si>
  <si>
    <t>Road-250 Red, 58</t>
    <phoneticPr fontId="2" type="noConversion"/>
  </si>
  <si>
    <t>FR-R92B-62</t>
    <phoneticPr fontId="2" type="noConversion"/>
  </si>
  <si>
    <t>HL Road Frame - Black, 62</t>
    <phoneticPr fontId="2" type="noConversion"/>
  </si>
  <si>
    <t>BK-R50R-62</t>
    <phoneticPr fontId="2" type="noConversion"/>
  </si>
  <si>
    <t>Road-650 Red, 62</t>
    <phoneticPr fontId="2" type="noConversion"/>
  </si>
  <si>
    <t>TI-M823</t>
    <phoneticPr fontId="2" type="noConversion"/>
  </si>
  <si>
    <t>HL Mountain Tire</t>
    <phoneticPr fontId="2" type="noConversion"/>
  </si>
  <si>
    <t>FR-T98U-46</t>
    <phoneticPr fontId="2" type="noConversion"/>
  </si>
  <si>
    <t>HL Touring Frame - Blue, 46</t>
    <phoneticPr fontId="2" type="noConversion"/>
  </si>
  <si>
    <t>LJ-0192-S</t>
    <phoneticPr fontId="2" type="noConversion"/>
  </si>
  <si>
    <t>Long-Sleeve Logo Jersey, S</t>
    <phoneticPr fontId="2" type="noConversion"/>
  </si>
  <si>
    <t>SA-M237</t>
    <phoneticPr fontId="2" type="noConversion"/>
  </si>
  <si>
    <t>ML Mountain Seat Assembly</t>
    <phoneticPr fontId="2" type="noConversion"/>
  </si>
  <si>
    <t>BK-T79Y-46</t>
    <phoneticPr fontId="2" type="noConversion"/>
  </si>
  <si>
    <t>Touring-1000 Yellow, 46</t>
    <phoneticPr fontId="2" type="noConversion"/>
  </si>
  <si>
    <t>BK-T18Y-58</t>
    <phoneticPr fontId="2" type="noConversion"/>
  </si>
  <si>
    <t>Touring-3000 Yellow, 58</t>
    <phoneticPr fontId="2" type="noConversion"/>
  </si>
  <si>
    <t>수량</t>
    <phoneticPr fontId="2" type="noConversion"/>
  </si>
  <si>
    <t>MOQ(MPQ)</t>
    <phoneticPr fontId="2" type="noConversion"/>
  </si>
  <si>
    <t>현재고</t>
    <phoneticPr fontId="2" type="noConversion"/>
  </si>
  <si>
    <t>현재고</t>
    <phoneticPr fontId="2" type="noConversion"/>
  </si>
  <si>
    <t>MOQ(MPQ)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</si>
</sst>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%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10"/>
      <color theme="4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41" fontId="4" fillId="0" borderId="1" xfId="1" applyFont="1" applyBorder="1">
      <alignment vertical="center"/>
    </xf>
    <xf numFmtId="0" fontId="3" fillId="2" borderId="1" xfId="1" applyNumberFormat="1" applyFont="1" applyFill="1" applyBorder="1" applyAlignment="1">
      <alignment horizontal="center" vertical="center"/>
    </xf>
    <xf numFmtId="41" fontId="3" fillId="3" borderId="1" xfId="1" applyFont="1" applyFill="1" applyBorder="1">
      <alignment vertical="center"/>
    </xf>
    <xf numFmtId="41" fontId="3" fillId="4" borderId="1" xfId="1" applyFont="1" applyFill="1" applyBorder="1">
      <alignment vertical="center"/>
    </xf>
    <xf numFmtId="41" fontId="4" fillId="0" borderId="0" xfId="1" applyFont="1">
      <alignment vertical="center"/>
    </xf>
    <xf numFmtId="41" fontId="0" fillId="0" borderId="0" xfId="1" applyFont="1">
      <alignment vertical="center"/>
    </xf>
    <xf numFmtId="41" fontId="3" fillId="3" borderId="1" xfId="0" applyNumberFormat="1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176" fontId="4" fillId="0" borderId="1" xfId="2" applyNumberFormat="1" applyFont="1" applyBorder="1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41" fontId="3" fillId="2" borderId="4" xfId="1" applyFont="1" applyFill="1" applyBorder="1" applyAlignment="1">
      <alignment horizontal="center" vertical="center"/>
    </xf>
    <xf numFmtId="41" fontId="3" fillId="2" borderId="1" xfId="1" applyFont="1" applyFill="1" applyBorder="1" applyAlignment="1">
      <alignment horizontal="center" vertical="center"/>
    </xf>
    <xf numFmtId="41" fontId="3" fillId="3" borderId="1" xfId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41" fontId="4" fillId="2" borderId="1" xfId="1" applyFont="1" applyFill="1" applyBorder="1" applyAlignment="1">
      <alignment horizontal="center" vertical="center"/>
    </xf>
    <xf numFmtId="41" fontId="4" fillId="3" borderId="5" xfId="1" applyFont="1" applyFill="1" applyBorder="1" applyAlignment="1">
      <alignment horizontal="center" vertical="center"/>
    </xf>
    <xf numFmtId="41" fontId="4" fillId="3" borderId="6" xfId="1" applyFont="1" applyFill="1" applyBorder="1" applyAlignment="1">
      <alignment horizontal="center" vertical="center"/>
    </xf>
    <xf numFmtId="41" fontId="4" fillId="3" borderId="4" xfId="1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419100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셀 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5</xdr:col>
          <xdr:colOff>457200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기울기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0</xdr:rowOff>
        </xdr:from>
        <xdr:to>
          <xdr:col>7</xdr:col>
          <xdr:colOff>495300</xdr:colOff>
          <xdr:row>0</xdr:row>
          <xdr:rowOff>257175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절편 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419100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수요 예측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38100</xdr:rowOff>
        </xdr:from>
        <xdr:to>
          <xdr:col>3</xdr:col>
          <xdr:colOff>209550</xdr:colOff>
          <xdr:row>0</xdr:row>
          <xdr:rowOff>276225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안전재고 산출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38100</xdr:rowOff>
        </xdr:from>
        <xdr:to>
          <xdr:col>7</xdr:col>
          <xdr:colOff>590550</xdr:colOff>
          <xdr:row>0</xdr:row>
          <xdr:rowOff>276225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발주(생산) 수량 결정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367"/>
  <sheetViews>
    <sheetView zoomScaleNormal="100" workbookViewId="0">
      <selection activeCell="J7" sqref="J7"/>
    </sheetView>
  </sheetViews>
  <sheetFormatPr defaultRowHeight="21" customHeight="1" x14ac:dyDescent="0.3"/>
  <cols>
    <col min="1" max="1" width="10.875" style="1" bestFit="1" customWidth="1"/>
    <col min="2" max="2" width="26.5" style="1" bestFit="1" customWidth="1"/>
    <col min="3" max="26" width="6.625" style="1" bestFit="1" customWidth="1"/>
    <col min="27" max="27" width="9" style="8"/>
    <col min="50" max="16384" width="9" style="1"/>
  </cols>
  <sheetData>
    <row r="1" spans="1:49" ht="21" customHeight="1" x14ac:dyDescent="0.3">
      <c r="A1" s="21" t="s">
        <v>0</v>
      </c>
      <c r="B1" s="21" t="s">
        <v>1</v>
      </c>
      <c r="C1" s="20" t="s">
        <v>2</v>
      </c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7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1" customHeight="1" x14ac:dyDescent="0.3">
      <c r="A2" s="22"/>
      <c r="B2" s="22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5">
        <f>SUM(C2:Z2)</f>
        <v>300</v>
      </c>
      <c r="AB2" s="9">
        <f>AA2^2</f>
        <v>90000</v>
      </c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21" customHeight="1" x14ac:dyDescent="0.3">
      <c r="A3" s="2" t="s">
        <v>3</v>
      </c>
      <c r="B3" s="2" t="s">
        <v>56</v>
      </c>
      <c r="C3" s="3">
        <v>390.5555555555556</v>
      </c>
      <c r="D3" s="3">
        <v>460.66666666666669</v>
      </c>
      <c r="E3" s="3">
        <v>345</v>
      </c>
      <c r="F3" s="3">
        <v>366</v>
      </c>
      <c r="G3" s="3">
        <v>671</v>
      </c>
      <c r="H3" s="3">
        <v>156</v>
      </c>
      <c r="I3" s="3">
        <v>567</v>
      </c>
      <c r="J3" s="3">
        <v>453</v>
      </c>
      <c r="K3" s="3">
        <v>325</v>
      </c>
      <c r="L3" s="3">
        <v>1034</v>
      </c>
      <c r="M3" s="3">
        <v>631</v>
      </c>
      <c r="N3" s="3">
        <v>619</v>
      </c>
      <c r="O3" s="3">
        <v>526</v>
      </c>
      <c r="P3" s="3">
        <v>468</v>
      </c>
      <c r="Q3" s="3">
        <v>528</v>
      </c>
      <c r="R3" s="3">
        <v>528</v>
      </c>
      <c r="S3" s="3">
        <v>464</v>
      </c>
      <c r="T3" s="3">
        <v>1179</v>
      </c>
      <c r="U3" s="3">
        <v>547</v>
      </c>
      <c r="V3" s="3">
        <v>348</v>
      </c>
      <c r="W3" s="3">
        <v>537</v>
      </c>
      <c r="X3" s="3">
        <v>925</v>
      </c>
      <c r="Y3" s="3">
        <v>853</v>
      </c>
      <c r="Z3" s="3">
        <v>705</v>
      </c>
      <c r="AA3" s="5">
        <v>13626.222222222223</v>
      </c>
      <c r="AB3" s="10">
        <v>4087866.666666667</v>
      </c>
      <c r="AC3" s="12">
        <v>523.05974483480918</v>
      </c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21" customHeight="1" x14ac:dyDescent="0.3">
      <c r="A4" s="2"/>
      <c r="B4" s="2"/>
      <c r="C4" s="3">
        <v>390.5555555555556</v>
      </c>
      <c r="D4" s="3">
        <v>921.33333333333337</v>
      </c>
      <c r="E4" s="3">
        <v>1035</v>
      </c>
      <c r="F4" s="3">
        <v>1464</v>
      </c>
      <c r="G4" s="3">
        <v>3355</v>
      </c>
      <c r="H4" s="3">
        <v>936</v>
      </c>
      <c r="I4" s="3">
        <v>3969</v>
      </c>
      <c r="J4" s="3">
        <v>3624</v>
      </c>
      <c r="K4" s="3">
        <v>2925</v>
      </c>
      <c r="L4" s="3">
        <v>10340</v>
      </c>
      <c r="M4" s="3">
        <v>6941</v>
      </c>
      <c r="N4" s="3">
        <v>7428</v>
      </c>
      <c r="O4" s="3">
        <v>6838</v>
      </c>
      <c r="P4" s="3">
        <v>6552</v>
      </c>
      <c r="Q4" s="3">
        <v>7920</v>
      </c>
      <c r="R4" s="3">
        <v>8448</v>
      </c>
      <c r="S4" s="3">
        <v>7888</v>
      </c>
      <c r="T4" s="3">
        <v>21222</v>
      </c>
      <c r="U4" s="3">
        <v>10393</v>
      </c>
      <c r="V4" s="3">
        <v>6960</v>
      </c>
      <c r="W4" s="3">
        <v>11277</v>
      </c>
      <c r="X4" s="3">
        <v>20350</v>
      </c>
      <c r="Y4" s="3">
        <v>19619</v>
      </c>
      <c r="Z4" s="3">
        <v>16920</v>
      </c>
      <c r="AA4" s="6">
        <v>187715.88888888888</v>
      </c>
      <c r="AB4" s="10">
        <v>4505181.333333333</v>
      </c>
      <c r="AC4" s="11">
        <v>3.5759611539560074</v>
      </c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</row>
    <row r="5" spans="1:49" ht="21" customHeight="1" x14ac:dyDescent="0.3">
      <c r="A5" s="2"/>
      <c r="B5" s="2"/>
      <c r="C5" s="3">
        <v>1</v>
      </c>
      <c r="D5" s="3">
        <v>4</v>
      </c>
      <c r="E5" s="3">
        <v>9</v>
      </c>
      <c r="F5" s="3">
        <v>16</v>
      </c>
      <c r="G5" s="3">
        <v>25</v>
      </c>
      <c r="H5" s="3">
        <v>36</v>
      </c>
      <c r="I5" s="3">
        <v>49</v>
      </c>
      <c r="J5" s="3">
        <v>64</v>
      </c>
      <c r="K5" s="3">
        <v>81</v>
      </c>
      <c r="L5" s="3">
        <v>100</v>
      </c>
      <c r="M5" s="3">
        <v>121</v>
      </c>
      <c r="N5" s="3">
        <v>144</v>
      </c>
      <c r="O5" s="3">
        <v>169</v>
      </c>
      <c r="P5" s="3">
        <v>196</v>
      </c>
      <c r="Q5" s="3">
        <v>225</v>
      </c>
      <c r="R5" s="3">
        <v>256</v>
      </c>
      <c r="S5" s="3">
        <v>289</v>
      </c>
      <c r="T5" s="3">
        <v>324</v>
      </c>
      <c r="U5" s="3">
        <v>361</v>
      </c>
      <c r="V5" s="3">
        <v>400</v>
      </c>
      <c r="W5" s="3">
        <v>441</v>
      </c>
      <c r="X5" s="3">
        <v>484</v>
      </c>
      <c r="Y5" s="3">
        <v>529</v>
      </c>
      <c r="Z5" s="3">
        <v>576</v>
      </c>
      <c r="AA5" s="6">
        <v>4900</v>
      </c>
      <c r="AB5" s="10">
        <v>117600</v>
      </c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 ht="21" customHeight="1" x14ac:dyDescent="0.3">
      <c r="A6" s="2"/>
      <c r="B6" s="2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7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</row>
    <row r="7" spans="1:49" ht="21" customHeight="1" x14ac:dyDescent="0.3">
      <c r="A7" s="2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7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</row>
    <row r="8" spans="1:49" ht="21" customHeight="1" x14ac:dyDescent="0.3">
      <c r="A8" s="2"/>
      <c r="B8" s="2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7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ht="21" customHeight="1" x14ac:dyDescent="0.3">
      <c r="A9" s="2"/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7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</row>
    <row r="10" spans="1:49" ht="21" customHeight="1" x14ac:dyDescent="0.3">
      <c r="A10" s="2" t="s">
        <v>4</v>
      </c>
      <c r="B10" s="2" t="s">
        <v>57</v>
      </c>
      <c r="C10" s="3">
        <v>164.55555555555554</v>
      </c>
      <c r="D10" s="3">
        <v>184.66666666666666</v>
      </c>
      <c r="E10" s="3">
        <v>135</v>
      </c>
      <c r="F10" s="3">
        <v>174</v>
      </c>
      <c r="G10" s="3">
        <v>245</v>
      </c>
      <c r="H10" s="3">
        <v>151</v>
      </c>
      <c r="I10" s="3">
        <v>302</v>
      </c>
      <c r="J10" s="3">
        <v>239</v>
      </c>
      <c r="K10" s="3">
        <v>200</v>
      </c>
      <c r="L10" s="3">
        <v>465</v>
      </c>
      <c r="M10" s="3">
        <v>398</v>
      </c>
      <c r="N10" s="3">
        <v>343</v>
      </c>
      <c r="O10" s="3">
        <v>269</v>
      </c>
      <c r="P10" s="3">
        <v>334</v>
      </c>
      <c r="Q10" s="3">
        <v>237</v>
      </c>
      <c r="R10" s="3">
        <v>364</v>
      </c>
      <c r="S10" s="3">
        <v>363</v>
      </c>
      <c r="T10" s="3">
        <v>308</v>
      </c>
      <c r="U10" s="3">
        <v>302</v>
      </c>
      <c r="V10" s="3">
        <v>310</v>
      </c>
      <c r="W10" s="3">
        <v>376</v>
      </c>
      <c r="X10" s="3">
        <v>425</v>
      </c>
      <c r="Y10" s="3">
        <v>471</v>
      </c>
      <c r="Z10" s="3">
        <v>764</v>
      </c>
      <c r="AA10" s="7">
        <v>7524.2222222222226</v>
      </c>
      <c r="AB10" s="1">
        <v>2257266.666666667</v>
      </c>
      <c r="AC10" s="1">
        <v>271.59894791964206</v>
      </c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</row>
    <row r="11" spans="1:49" ht="21" customHeight="1" x14ac:dyDescent="0.3">
      <c r="A11" s="2"/>
      <c r="B11" s="2"/>
      <c r="C11" s="3">
        <v>164.55555555555554</v>
      </c>
      <c r="D11" s="3">
        <v>369.33333333333331</v>
      </c>
      <c r="E11" s="3">
        <v>405</v>
      </c>
      <c r="F11" s="3">
        <v>696</v>
      </c>
      <c r="G11" s="3">
        <v>1225</v>
      </c>
      <c r="H11" s="3">
        <v>906</v>
      </c>
      <c r="I11" s="3">
        <v>2114</v>
      </c>
      <c r="J11" s="3">
        <v>1912</v>
      </c>
      <c r="K11" s="3">
        <v>1800</v>
      </c>
      <c r="L11" s="3">
        <v>4650</v>
      </c>
      <c r="M11" s="3">
        <v>4378</v>
      </c>
      <c r="N11" s="3">
        <v>4116</v>
      </c>
      <c r="O11" s="3">
        <v>3497</v>
      </c>
      <c r="P11" s="3">
        <v>4676</v>
      </c>
      <c r="Q11" s="3">
        <v>3555</v>
      </c>
      <c r="R11" s="3">
        <v>5824</v>
      </c>
      <c r="S11" s="3">
        <v>6171</v>
      </c>
      <c r="T11" s="3">
        <v>5544</v>
      </c>
      <c r="U11" s="3">
        <v>5738</v>
      </c>
      <c r="V11" s="3">
        <v>6200</v>
      </c>
      <c r="W11" s="3">
        <v>7896</v>
      </c>
      <c r="X11" s="3">
        <v>9350</v>
      </c>
      <c r="Y11" s="3">
        <v>10833</v>
      </c>
      <c r="Z11" s="3">
        <v>18336</v>
      </c>
      <c r="AA11" s="7">
        <v>110355.88888888889</v>
      </c>
      <c r="AB11" s="1">
        <v>2648541.3333333335</v>
      </c>
      <c r="AC11" s="1">
        <v>3.3528249071693788</v>
      </c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</row>
    <row r="12" spans="1:49" ht="21" customHeight="1" x14ac:dyDescent="0.3">
      <c r="A12" s="2"/>
      <c r="B12" s="2"/>
      <c r="C12" s="3">
        <v>1</v>
      </c>
      <c r="D12" s="3">
        <v>4</v>
      </c>
      <c r="E12" s="3">
        <v>9</v>
      </c>
      <c r="F12" s="3">
        <v>16</v>
      </c>
      <c r="G12" s="3">
        <v>25</v>
      </c>
      <c r="H12" s="3">
        <v>36</v>
      </c>
      <c r="I12" s="3">
        <v>49</v>
      </c>
      <c r="J12" s="3">
        <v>64</v>
      </c>
      <c r="K12" s="3">
        <v>81</v>
      </c>
      <c r="L12" s="3">
        <v>100</v>
      </c>
      <c r="M12" s="3">
        <v>121</v>
      </c>
      <c r="N12" s="3">
        <v>144</v>
      </c>
      <c r="O12" s="3">
        <v>169</v>
      </c>
      <c r="P12" s="3">
        <v>196</v>
      </c>
      <c r="Q12" s="3">
        <v>225</v>
      </c>
      <c r="R12" s="3">
        <v>256</v>
      </c>
      <c r="S12" s="3">
        <v>289</v>
      </c>
      <c r="T12" s="3">
        <v>324</v>
      </c>
      <c r="U12" s="3">
        <v>361</v>
      </c>
      <c r="V12" s="3">
        <v>400</v>
      </c>
      <c r="W12" s="3">
        <v>441</v>
      </c>
      <c r="X12" s="3">
        <v>484</v>
      </c>
      <c r="Y12" s="3">
        <v>529</v>
      </c>
      <c r="Z12" s="3">
        <v>576</v>
      </c>
      <c r="AA12" s="7">
        <v>4900</v>
      </c>
      <c r="AB12" s="1">
        <v>117600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21" customHeight="1" x14ac:dyDescent="0.3">
      <c r="A13" s="2"/>
      <c r="B13" s="2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7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 ht="21" customHeight="1" x14ac:dyDescent="0.3">
      <c r="A14" s="2"/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7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 ht="21" customHeight="1" x14ac:dyDescent="0.3">
      <c r="A15" s="2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7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 ht="21" customHeight="1" x14ac:dyDescent="0.3">
      <c r="A16" s="2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7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 ht="21" customHeight="1" x14ac:dyDescent="0.3">
      <c r="A17" s="2" t="s">
        <v>5</v>
      </c>
      <c r="B17" s="2" t="s">
        <v>58</v>
      </c>
      <c r="C17" s="3">
        <v>84.222222222222229</v>
      </c>
      <c r="D17" s="3">
        <v>100.66666666666667</v>
      </c>
      <c r="E17" s="3">
        <v>58</v>
      </c>
      <c r="F17" s="3">
        <v>94</v>
      </c>
      <c r="G17" s="3">
        <v>150</v>
      </c>
      <c r="H17" s="3">
        <v>43</v>
      </c>
      <c r="I17" s="3">
        <v>73</v>
      </c>
      <c r="J17" s="3">
        <v>102</v>
      </c>
      <c r="K17" s="3">
        <v>82</v>
      </c>
      <c r="L17" s="3">
        <v>101</v>
      </c>
      <c r="M17" s="3">
        <v>105</v>
      </c>
      <c r="N17" s="3">
        <v>74</v>
      </c>
      <c r="O17" s="3">
        <v>57</v>
      </c>
      <c r="P17" s="3">
        <v>103</v>
      </c>
      <c r="Q17" s="3">
        <v>65</v>
      </c>
      <c r="R17" s="3">
        <v>128</v>
      </c>
      <c r="S17" s="3">
        <v>134</v>
      </c>
      <c r="T17" s="3">
        <v>69</v>
      </c>
      <c r="U17" s="3">
        <v>117</v>
      </c>
      <c r="V17" s="3">
        <v>87</v>
      </c>
      <c r="W17" s="3">
        <v>148</v>
      </c>
      <c r="X17" s="3">
        <v>107</v>
      </c>
      <c r="Y17" s="3">
        <v>151</v>
      </c>
      <c r="Z17" s="3">
        <v>136</v>
      </c>
      <c r="AA17" s="7">
        <v>2368.8888888888887</v>
      </c>
      <c r="AB17" s="1">
        <v>710666.66666666663</v>
      </c>
      <c r="AC17" s="1">
        <v>92.949347805388925</v>
      </c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 ht="21" customHeight="1" x14ac:dyDescent="0.3">
      <c r="A18" s="2"/>
      <c r="B18" s="2"/>
      <c r="C18" s="3">
        <v>84.222222222222229</v>
      </c>
      <c r="D18" s="3">
        <v>201.33333333333334</v>
      </c>
      <c r="E18" s="3">
        <v>174</v>
      </c>
      <c r="F18" s="3">
        <v>376</v>
      </c>
      <c r="G18" s="3">
        <v>750</v>
      </c>
      <c r="H18" s="3">
        <v>258</v>
      </c>
      <c r="I18" s="3">
        <v>511</v>
      </c>
      <c r="J18" s="3">
        <v>816</v>
      </c>
      <c r="K18" s="3">
        <v>738</v>
      </c>
      <c r="L18" s="3">
        <v>1010</v>
      </c>
      <c r="M18" s="3">
        <v>1155</v>
      </c>
      <c r="N18" s="3">
        <v>888</v>
      </c>
      <c r="O18" s="3">
        <v>741</v>
      </c>
      <c r="P18" s="3">
        <v>1442</v>
      </c>
      <c r="Q18" s="3">
        <v>975</v>
      </c>
      <c r="R18" s="3">
        <v>2048</v>
      </c>
      <c r="S18" s="3">
        <v>2278</v>
      </c>
      <c r="T18" s="3">
        <v>1242</v>
      </c>
      <c r="U18" s="3">
        <v>2223</v>
      </c>
      <c r="V18" s="3">
        <v>1740</v>
      </c>
      <c r="W18" s="3">
        <v>3108</v>
      </c>
      <c r="X18" s="3">
        <v>2354</v>
      </c>
      <c r="Y18" s="3">
        <v>3473</v>
      </c>
      <c r="Z18" s="3">
        <v>3264</v>
      </c>
      <c r="AA18" s="7">
        <v>31849.555555555555</v>
      </c>
      <c r="AB18" s="1">
        <v>764389.33333333326</v>
      </c>
      <c r="AC18" s="1">
        <v>0.46034847186518102</v>
      </c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 ht="21" customHeight="1" x14ac:dyDescent="0.3">
      <c r="A19" s="2"/>
      <c r="B19" s="2"/>
      <c r="C19" s="3">
        <v>1</v>
      </c>
      <c r="D19" s="3">
        <v>4</v>
      </c>
      <c r="E19" s="3">
        <v>9</v>
      </c>
      <c r="F19" s="3">
        <v>16</v>
      </c>
      <c r="G19" s="3">
        <v>25</v>
      </c>
      <c r="H19" s="3">
        <v>36</v>
      </c>
      <c r="I19" s="3">
        <v>49</v>
      </c>
      <c r="J19" s="3">
        <v>64</v>
      </c>
      <c r="K19" s="3">
        <v>81</v>
      </c>
      <c r="L19" s="3">
        <v>100</v>
      </c>
      <c r="M19" s="3">
        <v>121</v>
      </c>
      <c r="N19" s="3">
        <v>144</v>
      </c>
      <c r="O19" s="3">
        <v>169</v>
      </c>
      <c r="P19" s="3">
        <v>196</v>
      </c>
      <c r="Q19" s="3">
        <v>225</v>
      </c>
      <c r="R19" s="3">
        <v>256</v>
      </c>
      <c r="S19" s="3">
        <v>289</v>
      </c>
      <c r="T19" s="3">
        <v>324</v>
      </c>
      <c r="U19" s="3">
        <v>361</v>
      </c>
      <c r="V19" s="3">
        <v>400</v>
      </c>
      <c r="W19" s="3">
        <v>441</v>
      </c>
      <c r="X19" s="3">
        <v>484</v>
      </c>
      <c r="Y19" s="3">
        <v>529</v>
      </c>
      <c r="Z19" s="3">
        <v>576</v>
      </c>
      <c r="AA19" s="7">
        <v>4900</v>
      </c>
      <c r="AB19" s="1">
        <v>117600</v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 ht="21" customHeight="1" x14ac:dyDescent="0.3">
      <c r="A20" s="2"/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7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 ht="21" customHeight="1" x14ac:dyDescent="0.3">
      <c r="A21" s="2"/>
      <c r="B21" s="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7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 ht="21" customHeight="1" x14ac:dyDescent="0.3">
      <c r="A22" s="2"/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7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 ht="21" customHeight="1" x14ac:dyDescent="0.3">
      <c r="A23" s="2"/>
      <c r="B23" s="2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7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 ht="21" customHeight="1" x14ac:dyDescent="0.3">
      <c r="A24" s="2" t="s">
        <v>6</v>
      </c>
      <c r="B24" s="2" t="s">
        <v>59</v>
      </c>
      <c r="C24" s="3">
        <v>106.33333333333333</v>
      </c>
      <c r="D24" s="3">
        <v>122</v>
      </c>
      <c r="E24" s="3">
        <v>90</v>
      </c>
      <c r="F24" s="3">
        <v>107</v>
      </c>
      <c r="G24" s="3">
        <v>169</v>
      </c>
      <c r="H24" s="3">
        <v>58</v>
      </c>
      <c r="I24" s="3">
        <v>194</v>
      </c>
      <c r="J24" s="3">
        <v>148</v>
      </c>
      <c r="K24" s="3">
        <v>130</v>
      </c>
      <c r="L24" s="3">
        <v>479</v>
      </c>
      <c r="M24" s="3">
        <v>244</v>
      </c>
      <c r="N24" s="3">
        <v>273</v>
      </c>
      <c r="O24" s="3">
        <v>193</v>
      </c>
      <c r="P24" s="3">
        <v>228</v>
      </c>
      <c r="Q24" s="3">
        <v>212</v>
      </c>
      <c r="R24" s="3">
        <v>207</v>
      </c>
      <c r="S24" s="3">
        <v>267</v>
      </c>
      <c r="T24" s="3">
        <v>315</v>
      </c>
      <c r="U24" s="3">
        <v>292</v>
      </c>
      <c r="V24" s="3">
        <v>164</v>
      </c>
      <c r="W24" s="3">
        <v>317</v>
      </c>
      <c r="X24" s="3">
        <v>1034</v>
      </c>
      <c r="Y24" s="3">
        <v>430</v>
      </c>
      <c r="Z24" s="3">
        <v>411</v>
      </c>
      <c r="AA24" s="7">
        <v>6190.333333333333</v>
      </c>
      <c r="AB24" s="1">
        <v>1857100</v>
      </c>
      <c r="AC24" s="1">
        <v>207.25403456155382</v>
      </c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 ht="21" customHeight="1" x14ac:dyDescent="0.3">
      <c r="A25" s="2"/>
      <c r="B25" s="2"/>
      <c r="C25" s="3">
        <v>106.33333333333333</v>
      </c>
      <c r="D25" s="3">
        <v>244</v>
      </c>
      <c r="E25" s="3">
        <v>270</v>
      </c>
      <c r="F25" s="3">
        <v>428</v>
      </c>
      <c r="G25" s="3">
        <v>845</v>
      </c>
      <c r="H25" s="3">
        <v>348</v>
      </c>
      <c r="I25" s="3">
        <v>1358</v>
      </c>
      <c r="J25" s="3">
        <v>1184</v>
      </c>
      <c r="K25" s="3">
        <v>1170</v>
      </c>
      <c r="L25" s="3">
        <v>4790</v>
      </c>
      <c r="M25" s="3">
        <v>2684</v>
      </c>
      <c r="N25" s="3">
        <v>3276</v>
      </c>
      <c r="O25" s="3">
        <v>2509</v>
      </c>
      <c r="P25" s="3">
        <v>3192</v>
      </c>
      <c r="Q25" s="3">
        <v>3180</v>
      </c>
      <c r="R25" s="3">
        <v>3312</v>
      </c>
      <c r="S25" s="3">
        <v>4539</v>
      </c>
      <c r="T25" s="3">
        <v>5670</v>
      </c>
      <c r="U25" s="3">
        <v>5548</v>
      </c>
      <c r="V25" s="3">
        <v>3280</v>
      </c>
      <c r="W25" s="3">
        <v>6657</v>
      </c>
      <c r="X25" s="3">
        <v>22748</v>
      </c>
      <c r="Y25" s="3">
        <v>9890</v>
      </c>
      <c r="Z25" s="3">
        <v>9864</v>
      </c>
      <c r="AA25" s="7">
        <v>97092.333333333328</v>
      </c>
      <c r="AB25" s="1">
        <v>2330216</v>
      </c>
      <c r="AC25" s="1">
        <v>4.0541216795201374</v>
      </c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 ht="21" customHeight="1" x14ac:dyDescent="0.3">
      <c r="A26" s="2"/>
      <c r="B26" s="2"/>
      <c r="C26" s="3">
        <v>1</v>
      </c>
      <c r="D26" s="3">
        <v>4</v>
      </c>
      <c r="E26" s="3">
        <v>9</v>
      </c>
      <c r="F26" s="3">
        <v>16</v>
      </c>
      <c r="G26" s="3">
        <v>25</v>
      </c>
      <c r="H26" s="3">
        <v>36</v>
      </c>
      <c r="I26" s="3">
        <v>49</v>
      </c>
      <c r="J26" s="3">
        <v>64</v>
      </c>
      <c r="K26" s="3">
        <v>81</v>
      </c>
      <c r="L26" s="3">
        <v>100</v>
      </c>
      <c r="M26" s="3">
        <v>121</v>
      </c>
      <c r="N26" s="3">
        <v>144</v>
      </c>
      <c r="O26" s="3">
        <v>169</v>
      </c>
      <c r="P26" s="3">
        <v>196</v>
      </c>
      <c r="Q26" s="3">
        <v>225</v>
      </c>
      <c r="R26" s="3">
        <v>256</v>
      </c>
      <c r="S26" s="3">
        <v>289</v>
      </c>
      <c r="T26" s="3">
        <v>324</v>
      </c>
      <c r="U26" s="3">
        <v>361</v>
      </c>
      <c r="V26" s="3">
        <v>400</v>
      </c>
      <c r="W26" s="3">
        <v>441</v>
      </c>
      <c r="X26" s="3">
        <v>484</v>
      </c>
      <c r="Y26" s="3">
        <v>529</v>
      </c>
      <c r="Z26" s="3">
        <v>576</v>
      </c>
      <c r="AA26" s="7">
        <v>4900</v>
      </c>
      <c r="AB26" s="1">
        <v>117600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 ht="21" customHeight="1" x14ac:dyDescent="0.3">
      <c r="A27" s="2"/>
      <c r="B27" s="2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7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ht="21" customHeight="1" x14ac:dyDescent="0.3">
      <c r="A28" s="2"/>
      <c r="B28" s="2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7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</row>
    <row r="29" spans="1:49" ht="21" customHeight="1" x14ac:dyDescent="0.3">
      <c r="A29" s="2"/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7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 ht="21" customHeight="1" x14ac:dyDescent="0.3">
      <c r="A30" s="2"/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7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 ht="21" customHeight="1" x14ac:dyDescent="0.3">
      <c r="A31" s="2" t="s">
        <v>7</v>
      </c>
      <c r="B31" s="2" t="s">
        <v>60</v>
      </c>
      <c r="C31" s="3">
        <v>31.777777777777782</v>
      </c>
      <c r="D31" s="3">
        <v>38.333333333333336</v>
      </c>
      <c r="E31" s="3">
        <v>24</v>
      </c>
      <c r="F31" s="3">
        <v>33</v>
      </c>
      <c r="G31" s="3">
        <v>58</v>
      </c>
      <c r="H31" s="3">
        <v>26</v>
      </c>
      <c r="I31" s="3">
        <v>58</v>
      </c>
      <c r="J31" s="3">
        <v>38</v>
      </c>
      <c r="K31" s="3">
        <v>59</v>
      </c>
      <c r="L31" s="3">
        <v>46</v>
      </c>
      <c r="M31" s="3">
        <v>53</v>
      </c>
      <c r="N31" s="3">
        <v>41</v>
      </c>
      <c r="O31" s="3">
        <v>35</v>
      </c>
      <c r="P31" s="3">
        <v>70</v>
      </c>
      <c r="Q31" s="3">
        <v>56</v>
      </c>
      <c r="R31" s="3">
        <v>77</v>
      </c>
      <c r="S31" s="3">
        <v>75</v>
      </c>
      <c r="T31" s="3">
        <v>194</v>
      </c>
      <c r="U31" s="3">
        <v>73</v>
      </c>
      <c r="V31" s="3">
        <v>79</v>
      </c>
      <c r="W31" s="3">
        <v>312</v>
      </c>
      <c r="X31" s="3">
        <v>116</v>
      </c>
      <c r="Y31" s="3">
        <v>70</v>
      </c>
      <c r="Z31" s="3">
        <v>141</v>
      </c>
      <c r="AA31" s="7">
        <v>1804.1111111111111</v>
      </c>
      <c r="AB31" s="1">
        <v>541233.33333333337</v>
      </c>
      <c r="AC31" s="1">
        <v>58.91922545939255</v>
      </c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 ht="21" customHeight="1" x14ac:dyDescent="0.3">
      <c r="A32" s="2"/>
      <c r="B32" s="2"/>
      <c r="C32" s="3">
        <v>31.777777777777782</v>
      </c>
      <c r="D32" s="3">
        <v>76.666666666666671</v>
      </c>
      <c r="E32" s="3">
        <v>72</v>
      </c>
      <c r="F32" s="3">
        <v>132</v>
      </c>
      <c r="G32" s="3">
        <v>290</v>
      </c>
      <c r="H32" s="3">
        <v>156</v>
      </c>
      <c r="I32" s="3">
        <v>406</v>
      </c>
      <c r="J32" s="3">
        <v>304</v>
      </c>
      <c r="K32" s="3">
        <v>531</v>
      </c>
      <c r="L32" s="3">
        <v>460</v>
      </c>
      <c r="M32" s="3">
        <v>583</v>
      </c>
      <c r="N32" s="3">
        <v>492</v>
      </c>
      <c r="O32" s="3">
        <v>455</v>
      </c>
      <c r="P32" s="3">
        <v>980</v>
      </c>
      <c r="Q32" s="3">
        <v>840</v>
      </c>
      <c r="R32" s="3">
        <v>1232</v>
      </c>
      <c r="S32" s="3">
        <v>1275</v>
      </c>
      <c r="T32" s="3">
        <v>3492</v>
      </c>
      <c r="U32" s="3">
        <v>1387</v>
      </c>
      <c r="V32" s="3">
        <v>1580</v>
      </c>
      <c r="W32" s="3">
        <v>6552</v>
      </c>
      <c r="X32" s="3">
        <v>2552</v>
      </c>
      <c r="Y32" s="3">
        <v>1610</v>
      </c>
      <c r="Z32" s="3">
        <v>3384</v>
      </c>
      <c r="AA32" s="7">
        <v>28873.444444444445</v>
      </c>
      <c r="AB32" s="1">
        <v>692962.66666666674</v>
      </c>
      <c r="AC32" s="1">
        <v>1.3001656669522996</v>
      </c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 ht="21" customHeight="1" x14ac:dyDescent="0.3">
      <c r="A33" s="2"/>
      <c r="B33" s="2"/>
      <c r="C33" s="3">
        <v>1</v>
      </c>
      <c r="D33" s="3">
        <v>4</v>
      </c>
      <c r="E33" s="3">
        <v>9</v>
      </c>
      <c r="F33" s="3">
        <v>16</v>
      </c>
      <c r="G33" s="3">
        <v>25</v>
      </c>
      <c r="H33" s="3">
        <v>36</v>
      </c>
      <c r="I33" s="3">
        <v>49</v>
      </c>
      <c r="J33" s="3">
        <v>64</v>
      </c>
      <c r="K33" s="3">
        <v>81</v>
      </c>
      <c r="L33" s="3">
        <v>100</v>
      </c>
      <c r="M33" s="3">
        <v>121</v>
      </c>
      <c r="N33" s="3">
        <v>144</v>
      </c>
      <c r="O33" s="3">
        <v>169</v>
      </c>
      <c r="P33" s="3">
        <v>196</v>
      </c>
      <c r="Q33" s="3">
        <v>225</v>
      </c>
      <c r="R33" s="3">
        <v>256</v>
      </c>
      <c r="S33" s="3">
        <v>289</v>
      </c>
      <c r="T33" s="3">
        <v>324</v>
      </c>
      <c r="U33" s="3">
        <v>361</v>
      </c>
      <c r="V33" s="3">
        <v>400</v>
      </c>
      <c r="W33" s="3">
        <v>441</v>
      </c>
      <c r="X33" s="3">
        <v>484</v>
      </c>
      <c r="Y33" s="3">
        <v>529</v>
      </c>
      <c r="Z33" s="3">
        <v>576</v>
      </c>
      <c r="AA33" s="7">
        <v>4900</v>
      </c>
      <c r="AB33" s="1">
        <v>117600</v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 ht="21" customHeight="1" x14ac:dyDescent="0.3">
      <c r="A34" s="2"/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7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 ht="21" customHeight="1" x14ac:dyDescent="0.3">
      <c r="A35" s="2"/>
      <c r="B35" s="2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7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ht="21" customHeight="1" x14ac:dyDescent="0.3">
      <c r="A36" s="2"/>
      <c r="B36" s="2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7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ht="21" customHeight="1" x14ac:dyDescent="0.3">
      <c r="A37" s="2"/>
      <c r="B37" s="2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7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 ht="21" customHeight="1" x14ac:dyDescent="0.3">
      <c r="A38" s="2" t="s">
        <v>8</v>
      </c>
      <c r="B38" s="2" t="s">
        <v>61</v>
      </c>
      <c r="C38" s="3">
        <v>163.44444444444446</v>
      </c>
      <c r="D38" s="3">
        <v>187.33333333333334</v>
      </c>
      <c r="E38" s="3">
        <v>137</v>
      </c>
      <c r="F38" s="3">
        <v>166</v>
      </c>
      <c r="G38" s="3">
        <v>259</v>
      </c>
      <c r="H38" s="3">
        <v>99</v>
      </c>
      <c r="I38" s="3">
        <v>220</v>
      </c>
      <c r="J38" s="3">
        <v>158</v>
      </c>
      <c r="K38" s="3">
        <v>118</v>
      </c>
      <c r="L38" s="3">
        <v>170</v>
      </c>
      <c r="M38" s="3">
        <v>110</v>
      </c>
      <c r="N38" s="3">
        <v>170</v>
      </c>
      <c r="O38" s="3">
        <v>130</v>
      </c>
      <c r="P38" s="3">
        <v>218</v>
      </c>
      <c r="Q38" s="3">
        <v>200</v>
      </c>
      <c r="R38" s="3">
        <v>211</v>
      </c>
      <c r="S38" s="3">
        <v>299</v>
      </c>
      <c r="T38" s="3">
        <v>554</v>
      </c>
      <c r="U38" s="3">
        <v>239</v>
      </c>
      <c r="V38" s="3">
        <v>177</v>
      </c>
      <c r="W38" s="3">
        <v>487</v>
      </c>
      <c r="X38" s="3">
        <v>414</v>
      </c>
      <c r="Y38" s="3">
        <v>161</v>
      </c>
      <c r="Z38" s="3">
        <v>288</v>
      </c>
      <c r="AA38" s="7">
        <v>5335.7777777777774</v>
      </c>
      <c r="AB38" s="1">
        <v>1600733.3333333333</v>
      </c>
      <c r="AC38" s="1">
        <v>197.06729029801008</v>
      </c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 ht="21" customHeight="1" x14ac:dyDescent="0.3">
      <c r="A39" s="2"/>
      <c r="B39" s="2"/>
      <c r="C39" s="3">
        <v>163.44444444444446</v>
      </c>
      <c r="D39" s="3">
        <v>374.66666666666669</v>
      </c>
      <c r="E39" s="3">
        <v>411</v>
      </c>
      <c r="F39" s="3">
        <v>664</v>
      </c>
      <c r="G39" s="3">
        <v>1295</v>
      </c>
      <c r="H39" s="3">
        <v>594</v>
      </c>
      <c r="I39" s="3">
        <v>1540</v>
      </c>
      <c r="J39" s="3">
        <v>1264</v>
      </c>
      <c r="K39" s="3">
        <v>1062</v>
      </c>
      <c r="L39" s="3">
        <v>1700</v>
      </c>
      <c r="M39" s="3">
        <v>1210</v>
      </c>
      <c r="N39" s="3">
        <v>2040</v>
      </c>
      <c r="O39" s="3">
        <v>1690</v>
      </c>
      <c r="P39" s="3">
        <v>3052</v>
      </c>
      <c r="Q39" s="3">
        <v>3000</v>
      </c>
      <c r="R39" s="3">
        <v>3376</v>
      </c>
      <c r="S39" s="3">
        <v>5083</v>
      </c>
      <c r="T39" s="3">
        <v>9972</v>
      </c>
      <c r="U39" s="3">
        <v>4541</v>
      </c>
      <c r="V39" s="3">
        <v>3540</v>
      </c>
      <c r="W39" s="3">
        <v>10227</v>
      </c>
      <c r="X39" s="3">
        <v>9108</v>
      </c>
      <c r="Y39" s="3">
        <v>3703</v>
      </c>
      <c r="Z39" s="3">
        <v>6912</v>
      </c>
      <c r="AA39" s="7">
        <v>76522.111111111109</v>
      </c>
      <c r="AB39" s="1">
        <v>1836530.6666666665</v>
      </c>
      <c r="AC39" s="1">
        <v>2.0205427020851179</v>
      </c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 ht="21" customHeight="1" x14ac:dyDescent="0.3">
      <c r="A40" s="2"/>
      <c r="B40" s="2"/>
      <c r="C40" s="3">
        <v>1</v>
      </c>
      <c r="D40" s="3">
        <v>4</v>
      </c>
      <c r="E40" s="3">
        <v>9</v>
      </c>
      <c r="F40" s="3">
        <v>16</v>
      </c>
      <c r="G40" s="3">
        <v>25</v>
      </c>
      <c r="H40" s="3">
        <v>36</v>
      </c>
      <c r="I40" s="3">
        <v>49</v>
      </c>
      <c r="J40" s="3">
        <v>64</v>
      </c>
      <c r="K40" s="3">
        <v>81</v>
      </c>
      <c r="L40" s="3">
        <v>100</v>
      </c>
      <c r="M40" s="3">
        <v>121</v>
      </c>
      <c r="N40" s="3">
        <v>144</v>
      </c>
      <c r="O40" s="3">
        <v>169</v>
      </c>
      <c r="P40" s="3">
        <v>196</v>
      </c>
      <c r="Q40" s="3">
        <v>225</v>
      </c>
      <c r="R40" s="3">
        <v>256</v>
      </c>
      <c r="S40" s="3">
        <v>289</v>
      </c>
      <c r="T40" s="3">
        <v>324</v>
      </c>
      <c r="U40" s="3">
        <v>361</v>
      </c>
      <c r="V40" s="3">
        <v>400</v>
      </c>
      <c r="W40" s="3">
        <v>441</v>
      </c>
      <c r="X40" s="3">
        <v>484</v>
      </c>
      <c r="Y40" s="3">
        <v>529</v>
      </c>
      <c r="Z40" s="3">
        <v>576</v>
      </c>
      <c r="AA40" s="7">
        <v>4900</v>
      </c>
      <c r="AB40" s="1">
        <v>117600</v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 ht="21" customHeight="1" x14ac:dyDescent="0.3">
      <c r="A41" s="2"/>
      <c r="B41" s="2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7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21" customHeight="1" x14ac:dyDescent="0.3">
      <c r="A42" s="2"/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7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21" customHeight="1" x14ac:dyDescent="0.3">
      <c r="A43" s="2"/>
      <c r="B43" s="2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7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 ht="21" customHeight="1" x14ac:dyDescent="0.3">
      <c r="A44" s="2"/>
      <c r="B44" s="2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7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 ht="21" customHeight="1" x14ac:dyDescent="0.3">
      <c r="A45" s="2" t="s">
        <v>9</v>
      </c>
      <c r="B45" s="2" t="s">
        <v>62</v>
      </c>
      <c r="C45" s="3">
        <v>74.555555555555557</v>
      </c>
      <c r="D45" s="3">
        <v>89.666666666666671</v>
      </c>
      <c r="E45" s="3">
        <v>78</v>
      </c>
      <c r="F45" s="3">
        <v>56</v>
      </c>
      <c r="G45" s="3">
        <v>135</v>
      </c>
      <c r="H45" s="3">
        <v>26</v>
      </c>
      <c r="I45" s="3">
        <v>64</v>
      </c>
      <c r="J45" s="3">
        <v>65</v>
      </c>
      <c r="K45" s="3">
        <v>53</v>
      </c>
      <c r="L45" s="3">
        <v>139</v>
      </c>
      <c r="M45" s="3">
        <v>80</v>
      </c>
      <c r="N45" s="3">
        <v>71</v>
      </c>
      <c r="O45" s="3">
        <v>132</v>
      </c>
      <c r="P45" s="3">
        <v>95</v>
      </c>
      <c r="Q45" s="3">
        <v>79</v>
      </c>
      <c r="R45" s="3">
        <v>112</v>
      </c>
      <c r="S45" s="3">
        <v>107</v>
      </c>
      <c r="T45" s="3">
        <v>109</v>
      </c>
      <c r="U45" s="3">
        <v>221</v>
      </c>
      <c r="V45" s="3">
        <v>493</v>
      </c>
      <c r="W45" s="3">
        <v>90</v>
      </c>
      <c r="X45" s="3">
        <v>208</v>
      </c>
      <c r="Y45" s="3">
        <v>69</v>
      </c>
      <c r="Z45" s="3">
        <v>282</v>
      </c>
      <c r="AA45" s="7">
        <v>2928.2222222222222</v>
      </c>
      <c r="AB45" s="1">
        <v>878466.66666666663</v>
      </c>
      <c r="AC45" s="1">
        <v>100.95241835665998</v>
      </c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 ht="21" customHeight="1" x14ac:dyDescent="0.3">
      <c r="A46" s="2"/>
      <c r="B46" s="2"/>
      <c r="C46" s="3">
        <v>74.555555555555557</v>
      </c>
      <c r="D46" s="3">
        <v>179.33333333333334</v>
      </c>
      <c r="E46" s="3">
        <v>234</v>
      </c>
      <c r="F46" s="3">
        <v>224</v>
      </c>
      <c r="G46" s="3">
        <v>675</v>
      </c>
      <c r="H46" s="3">
        <v>156</v>
      </c>
      <c r="I46" s="3">
        <v>448</v>
      </c>
      <c r="J46" s="3">
        <v>520</v>
      </c>
      <c r="K46" s="3">
        <v>477</v>
      </c>
      <c r="L46" s="3">
        <v>1390</v>
      </c>
      <c r="M46" s="3">
        <v>880</v>
      </c>
      <c r="N46" s="3">
        <v>852</v>
      </c>
      <c r="O46" s="3">
        <v>1716</v>
      </c>
      <c r="P46" s="3">
        <v>1330</v>
      </c>
      <c r="Q46" s="3">
        <v>1185</v>
      </c>
      <c r="R46" s="3">
        <v>1792</v>
      </c>
      <c r="S46" s="3">
        <v>1819</v>
      </c>
      <c r="T46" s="3">
        <v>1962</v>
      </c>
      <c r="U46" s="3">
        <v>4199</v>
      </c>
      <c r="V46" s="3">
        <v>9860</v>
      </c>
      <c r="W46" s="3">
        <v>1890</v>
      </c>
      <c r="X46" s="3">
        <v>4576</v>
      </c>
      <c r="Y46" s="3">
        <v>1587</v>
      </c>
      <c r="Z46" s="3">
        <v>6768</v>
      </c>
      <c r="AA46" s="7">
        <v>44793.888888888891</v>
      </c>
      <c r="AB46" s="1">
        <v>1075053.3333333335</v>
      </c>
      <c r="AC46" s="1">
        <v>1.6845472722079422</v>
      </c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 ht="21" customHeight="1" x14ac:dyDescent="0.3">
      <c r="A47" s="2"/>
      <c r="B47" s="2"/>
      <c r="C47" s="3">
        <v>1</v>
      </c>
      <c r="D47" s="3">
        <v>4</v>
      </c>
      <c r="E47" s="3">
        <v>9</v>
      </c>
      <c r="F47" s="3">
        <v>16</v>
      </c>
      <c r="G47" s="3">
        <v>25</v>
      </c>
      <c r="H47" s="3">
        <v>36</v>
      </c>
      <c r="I47" s="3">
        <v>49</v>
      </c>
      <c r="J47" s="3">
        <v>64</v>
      </c>
      <c r="K47" s="3">
        <v>81</v>
      </c>
      <c r="L47" s="3">
        <v>100</v>
      </c>
      <c r="M47" s="3">
        <v>121</v>
      </c>
      <c r="N47" s="3">
        <v>144</v>
      </c>
      <c r="O47" s="3">
        <v>169</v>
      </c>
      <c r="P47" s="3">
        <v>196</v>
      </c>
      <c r="Q47" s="3">
        <v>225</v>
      </c>
      <c r="R47" s="3">
        <v>256</v>
      </c>
      <c r="S47" s="3">
        <v>289</v>
      </c>
      <c r="T47" s="3">
        <v>324</v>
      </c>
      <c r="U47" s="3">
        <v>361</v>
      </c>
      <c r="V47" s="3">
        <v>400</v>
      </c>
      <c r="W47" s="3">
        <v>441</v>
      </c>
      <c r="X47" s="3">
        <v>484</v>
      </c>
      <c r="Y47" s="3">
        <v>529</v>
      </c>
      <c r="Z47" s="3">
        <v>576</v>
      </c>
      <c r="AA47" s="7">
        <v>4900</v>
      </c>
      <c r="AB47" s="1">
        <v>117600</v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 ht="21" customHeight="1" x14ac:dyDescent="0.3">
      <c r="A48" s="2"/>
      <c r="B48" s="2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7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 ht="21" customHeight="1" x14ac:dyDescent="0.3">
      <c r="A49" s="2"/>
      <c r="B49" s="2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7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 ht="21" customHeight="1" x14ac:dyDescent="0.3">
      <c r="A50" s="2"/>
      <c r="B50" s="2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7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 ht="21" customHeight="1" x14ac:dyDescent="0.3">
      <c r="A51" s="2"/>
      <c r="B51" s="2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7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 ht="21" customHeight="1" x14ac:dyDescent="0.3">
      <c r="A52" s="2" t="s">
        <v>10</v>
      </c>
      <c r="B52" s="2" t="s">
        <v>63</v>
      </c>
      <c r="C52" s="3">
        <v>204.33333333333334</v>
      </c>
      <c r="D52" s="3">
        <v>237</v>
      </c>
      <c r="E52" s="3">
        <v>163</v>
      </c>
      <c r="F52" s="3">
        <v>213</v>
      </c>
      <c r="G52" s="3">
        <v>335</v>
      </c>
      <c r="H52" s="3">
        <v>68</v>
      </c>
      <c r="I52" s="3">
        <v>230</v>
      </c>
      <c r="J52" s="3">
        <v>220</v>
      </c>
      <c r="K52" s="3">
        <v>193</v>
      </c>
      <c r="L52" s="3">
        <v>281</v>
      </c>
      <c r="M52" s="3">
        <v>154</v>
      </c>
      <c r="N52" s="3">
        <v>260</v>
      </c>
      <c r="O52" s="3">
        <v>209</v>
      </c>
      <c r="P52" s="3">
        <v>361</v>
      </c>
      <c r="Q52" s="3">
        <v>315</v>
      </c>
      <c r="R52" s="3">
        <v>242</v>
      </c>
      <c r="S52" s="3">
        <v>278</v>
      </c>
      <c r="T52" s="3">
        <v>238</v>
      </c>
      <c r="U52" s="3">
        <v>262</v>
      </c>
      <c r="V52" s="3">
        <v>196</v>
      </c>
      <c r="W52" s="3">
        <v>263</v>
      </c>
      <c r="X52" s="3">
        <v>396</v>
      </c>
      <c r="Y52" s="3">
        <v>273</v>
      </c>
      <c r="Z52" s="3">
        <v>566</v>
      </c>
      <c r="AA52" s="7">
        <v>6157.3333333333339</v>
      </c>
      <c r="AB52" s="1">
        <v>1847200.0000000002</v>
      </c>
      <c r="AC52" s="1">
        <v>235.37132247929165</v>
      </c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 ht="21" customHeight="1" x14ac:dyDescent="0.3">
      <c r="A53" s="2"/>
      <c r="B53" s="2"/>
      <c r="C53" s="3">
        <v>204.33333333333334</v>
      </c>
      <c r="D53" s="3">
        <v>474</v>
      </c>
      <c r="E53" s="3">
        <v>489</v>
      </c>
      <c r="F53" s="3">
        <v>852</v>
      </c>
      <c r="G53" s="3">
        <v>1675</v>
      </c>
      <c r="H53" s="3">
        <v>408</v>
      </c>
      <c r="I53" s="3">
        <v>1610</v>
      </c>
      <c r="J53" s="3">
        <v>1760</v>
      </c>
      <c r="K53" s="3">
        <v>1737</v>
      </c>
      <c r="L53" s="3">
        <v>2810</v>
      </c>
      <c r="M53" s="3">
        <v>1694</v>
      </c>
      <c r="N53" s="3">
        <v>3120</v>
      </c>
      <c r="O53" s="3">
        <v>2717</v>
      </c>
      <c r="P53" s="3">
        <v>5054</v>
      </c>
      <c r="Q53" s="3">
        <v>4725</v>
      </c>
      <c r="R53" s="3">
        <v>3872</v>
      </c>
      <c r="S53" s="3">
        <v>4726</v>
      </c>
      <c r="T53" s="3">
        <v>4284</v>
      </c>
      <c r="U53" s="3">
        <v>4978</v>
      </c>
      <c r="V53" s="3">
        <v>3920</v>
      </c>
      <c r="W53" s="3">
        <v>5523</v>
      </c>
      <c r="X53" s="3">
        <v>8712</v>
      </c>
      <c r="Y53" s="3">
        <v>6279</v>
      </c>
      <c r="Z53" s="3">
        <v>13584</v>
      </c>
      <c r="AA53" s="7">
        <v>85207.333333333343</v>
      </c>
      <c r="AB53" s="1">
        <v>2044976.0000000002</v>
      </c>
      <c r="AC53" s="1">
        <v>1.694738646101114</v>
      </c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 ht="21" customHeight="1" x14ac:dyDescent="0.3">
      <c r="A54" s="2"/>
      <c r="B54" s="2"/>
      <c r="C54" s="3">
        <v>1</v>
      </c>
      <c r="D54" s="3">
        <v>4</v>
      </c>
      <c r="E54" s="3">
        <v>9</v>
      </c>
      <c r="F54" s="3">
        <v>16</v>
      </c>
      <c r="G54" s="3">
        <v>25</v>
      </c>
      <c r="H54" s="3">
        <v>36</v>
      </c>
      <c r="I54" s="3">
        <v>49</v>
      </c>
      <c r="J54" s="3">
        <v>64</v>
      </c>
      <c r="K54" s="3">
        <v>81</v>
      </c>
      <c r="L54" s="3">
        <v>100</v>
      </c>
      <c r="M54" s="3">
        <v>121</v>
      </c>
      <c r="N54" s="3">
        <v>144</v>
      </c>
      <c r="O54" s="3">
        <v>169</v>
      </c>
      <c r="P54" s="3">
        <v>196</v>
      </c>
      <c r="Q54" s="3">
        <v>225</v>
      </c>
      <c r="R54" s="3">
        <v>256</v>
      </c>
      <c r="S54" s="3">
        <v>289</v>
      </c>
      <c r="T54" s="3">
        <v>324</v>
      </c>
      <c r="U54" s="3">
        <v>361</v>
      </c>
      <c r="V54" s="3">
        <v>400</v>
      </c>
      <c r="W54" s="3">
        <v>441</v>
      </c>
      <c r="X54" s="3">
        <v>484</v>
      </c>
      <c r="Y54" s="3">
        <v>529</v>
      </c>
      <c r="Z54" s="3">
        <v>576</v>
      </c>
      <c r="AA54" s="7">
        <v>4900</v>
      </c>
      <c r="AB54" s="1">
        <v>117600</v>
      </c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 ht="21" customHeight="1" x14ac:dyDescent="0.3">
      <c r="A55" s="2"/>
      <c r="B55" s="2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7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21" customHeight="1" x14ac:dyDescent="0.3">
      <c r="A56" s="2"/>
      <c r="B56" s="2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7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 ht="21" customHeight="1" x14ac:dyDescent="0.3">
      <c r="A57" s="2"/>
      <c r="B57" s="2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7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 ht="21" customHeight="1" x14ac:dyDescent="0.3">
      <c r="A58" s="2"/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7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 ht="21" customHeight="1" x14ac:dyDescent="0.3">
      <c r="A59" s="2" t="s">
        <v>11</v>
      </c>
      <c r="B59" s="2" t="s">
        <v>64</v>
      </c>
      <c r="C59" s="3">
        <v>172</v>
      </c>
      <c r="D59" s="3">
        <v>197</v>
      </c>
      <c r="E59" s="3">
        <v>113</v>
      </c>
      <c r="F59" s="3">
        <v>206</v>
      </c>
      <c r="G59" s="3">
        <v>272</v>
      </c>
      <c r="H59" s="3">
        <v>55</v>
      </c>
      <c r="I59" s="3">
        <v>231</v>
      </c>
      <c r="J59" s="3">
        <v>231</v>
      </c>
      <c r="K59" s="3">
        <v>187</v>
      </c>
      <c r="L59" s="3">
        <v>278</v>
      </c>
      <c r="M59" s="3">
        <v>179</v>
      </c>
      <c r="N59" s="3">
        <v>219</v>
      </c>
      <c r="O59" s="3">
        <v>200</v>
      </c>
      <c r="P59" s="3">
        <v>301</v>
      </c>
      <c r="Q59" s="3">
        <v>262</v>
      </c>
      <c r="R59" s="3">
        <v>240</v>
      </c>
      <c r="S59" s="3">
        <v>262</v>
      </c>
      <c r="T59" s="3">
        <v>238</v>
      </c>
      <c r="U59" s="3">
        <v>223</v>
      </c>
      <c r="V59" s="3">
        <v>273</v>
      </c>
      <c r="W59" s="3">
        <v>350</v>
      </c>
      <c r="X59" s="3">
        <v>246</v>
      </c>
      <c r="Y59" s="3">
        <v>203</v>
      </c>
      <c r="Z59" s="3">
        <v>363</v>
      </c>
      <c r="AA59" s="7">
        <v>5501</v>
      </c>
      <c r="AB59" s="1">
        <v>1650300</v>
      </c>
      <c r="AC59" s="1">
        <v>212.90113538988862</v>
      </c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 ht="21" customHeight="1" x14ac:dyDescent="0.3">
      <c r="A60" s="2"/>
      <c r="B60" s="2"/>
      <c r="C60" s="3">
        <v>172</v>
      </c>
      <c r="D60" s="3">
        <v>394</v>
      </c>
      <c r="E60" s="3">
        <v>339</v>
      </c>
      <c r="F60" s="3">
        <v>824</v>
      </c>
      <c r="G60" s="3">
        <v>1360</v>
      </c>
      <c r="H60" s="3">
        <v>330</v>
      </c>
      <c r="I60" s="3">
        <v>1617</v>
      </c>
      <c r="J60" s="3">
        <v>1848</v>
      </c>
      <c r="K60" s="3">
        <v>1683</v>
      </c>
      <c r="L60" s="3">
        <v>2780</v>
      </c>
      <c r="M60" s="3">
        <v>1969</v>
      </c>
      <c r="N60" s="3">
        <v>2628</v>
      </c>
      <c r="O60" s="3">
        <v>2600</v>
      </c>
      <c r="P60" s="3">
        <v>4214</v>
      </c>
      <c r="Q60" s="3">
        <v>3930</v>
      </c>
      <c r="R60" s="3">
        <v>3840</v>
      </c>
      <c r="S60" s="3">
        <v>4454</v>
      </c>
      <c r="T60" s="3">
        <v>4284</v>
      </c>
      <c r="U60" s="3">
        <v>4237</v>
      </c>
      <c r="V60" s="3">
        <v>5460</v>
      </c>
      <c r="W60" s="3">
        <v>7350</v>
      </c>
      <c r="X60" s="3">
        <v>5412</v>
      </c>
      <c r="Y60" s="3">
        <v>4669</v>
      </c>
      <c r="Z60" s="3">
        <v>8712</v>
      </c>
      <c r="AA60" s="7">
        <v>75106</v>
      </c>
      <c r="AB60" s="1">
        <v>1802544</v>
      </c>
      <c r="AC60" s="1">
        <v>1.3045758354755783</v>
      </c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 ht="21" customHeight="1" x14ac:dyDescent="0.3">
      <c r="A61" s="2"/>
      <c r="B61" s="2"/>
      <c r="C61" s="3">
        <v>1</v>
      </c>
      <c r="D61" s="3">
        <v>4</v>
      </c>
      <c r="E61" s="3">
        <v>9</v>
      </c>
      <c r="F61" s="3">
        <v>16</v>
      </c>
      <c r="G61" s="3">
        <v>25</v>
      </c>
      <c r="H61" s="3">
        <v>36</v>
      </c>
      <c r="I61" s="3">
        <v>49</v>
      </c>
      <c r="J61" s="3">
        <v>64</v>
      </c>
      <c r="K61" s="3">
        <v>81</v>
      </c>
      <c r="L61" s="3">
        <v>100</v>
      </c>
      <c r="M61" s="3">
        <v>121</v>
      </c>
      <c r="N61" s="3">
        <v>144</v>
      </c>
      <c r="O61" s="3">
        <v>169</v>
      </c>
      <c r="P61" s="3">
        <v>196</v>
      </c>
      <c r="Q61" s="3">
        <v>225</v>
      </c>
      <c r="R61" s="3">
        <v>256</v>
      </c>
      <c r="S61" s="3">
        <v>289</v>
      </c>
      <c r="T61" s="3">
        <v>324</v>
      </c>
      <c r="U61" s="3">
        <v>361</v>
      </c>
      <c r="V61" s="3">
        <v>400</v>
      </c>
      <c r="W61" s="3">
        <v>441</v>
      </c>
      <c r="X61" s="3">
        <v>484</v>
      </c>
      <c r="Y61" s="3">
        <v>529</v>
      </c>
      <c r="Z61" s="3">
        <v>576</v>
      </c>
      <c r="AA61" s="7">
        <v>4900</v>
      </c>
      <c r="AB61" s="1">
        <v>117600</v>
      </c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 ht="21" customHeight="1" x14ac:dyDescent="0.3">
      <c r="A62" s="2"/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7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 ht="21" customHeight="1" x14ac:dyDescent="0.3">
      <c r="A63" s="2"/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7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 ht="21" customHeight="1" x14ac:dyDescent="0.3">
      <c r="A64" s="2"/>
      <c r="B64" s="2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7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 ht="21" customHeight="1" x14ac:dyDescent="0.3">
      <c r="A65" s="2"/>
      <c r="B65" s="2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7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 ht="21" customHeight="1" x14ac:dyDescent="0.3">
      <c r="A66" s="2" t="s">
        <v>12</v>
      </c>
      <c r="B66" s="2" t="s">
        <v>65</v>
      </c>
      <c r="C66" s="3">
        <v>28.555555555555554</v>
      </c>
      <c r="D66" s="3">
        <v>33.666666666666664</v>
      </c>
      <c r="E66" s="3">
        <v>29</v>
      </c>
      <c r="F66" s="3">
        <v>23</v>
      </c>
      <c r="G66" s="3">
        <v>49</v>
      </c>
      <c r="H66" s="3">
        <v>15</v>
      </c>
      <c r="I66" s="3">
        <v>52</v>
      </c>
      <c r="J66" s="3">
        <v>56</v>
      </c>
      <c r="K66" s="3">
        <v>54</v>
      </c>
      <c r="L66" s="3">
        <v>72</v>
      </c>
      <c r="M66" s="3">
        <v>91</v>
      </c>
      <c r="N66" s="3">
        <v>78</v>
      </c>
      <c r="O66" s="3">
        <v>37</v>
      </c>
      <c r="P66" s="3">
        <v>138</v>
      </c>
      <c r="Q66" s="3">
        <v>51</v>
      </c>
      <c r="R66" s="3">
        <v>111</v>
      </c>
      <c r="S66" s="3">
        <v>99</v>
      </c>
      <c r="T66" s="3">
        <v>80</v>
      </c>
      <c r="U66" s="3">
        <v>56</v>
      </c>
      <c r="V66" s="3">
        <v>127</v>
      </c>
      <c r="W66" s="3">
        <v>95</v>
      </c>
      <c r="X66" s="3">
        <v>79</v>
      </c>
      <c r="Y66" s="3">
        <v>99</v>
      </c>
      <c r="Z66" s="3">
        <v>143</v>
      </c>
      <c r="AA66" s="7">
        <v>1696.2222222222222</v>
      </c>
      <c r="AB66" s="1">
        <v>508866.66666666663</v>
      </c>
      <c r="AC66" s="1">
        <v>59.146077311244397</v>
      </c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 ht="21" customHeight="1" x14ac:dyDescent="0.3">
      <c r="A67" s="2"/>
      <c r="B67" s="2"/>
      <c r="C67" s="3">
        <v>28.555555555555554</v>
      </c>
      <c r="D67" s="3">
        <v>67.333333333333329</v>
      </c>
      <c r="E67" s="3">
        <v>87</v>
      </c>
      <c r="F67" s="3">
        <v>92</v>
      </c>
      <c r="G67" s="3">
        <v>245</v>
      </c>
      <c r="H67" s="3">
        <v>90</v>
      </c>
      <c r="I67" s="3">
        <v>364</v>
      </c>
      <c r="J67" s="3">
        <v>448</v>
      </c>
      <c r="K67" s="3">
        <v>486</v>
      </c>
      <c r="L67" s="3">
        <v>720</v>
      </c>
      <c r="M67" s="3">
        <v>1001</v>
      </c>
      <c r="N67" s="3">
        <v>936</v>
      </c>
      <c r="O67" s="3">
        <v>481</v>
      </c>
      <c r="P67" s="3">
        <v>1932</v>
      </c>
      <c r="Q67" s="3">
        <v>765</v>
      </c>
      <c r="R67" s="3">
        <v>1776</v>
      </c>
      <c r="S67" s="3">
        <v>1683</v>
      </c>
      <c r="T67" s="3">
        <v>1440</v>
      </c>
      <c r="U67" s="3">
        <v>1064</v>
      </c>
      <c r="V67" s="3">
        <v>2540</v>
      </c>
      <c r="W67" s="3">
        <v>1995</v>
      </c>
      <c r="X67" s="3">
        <v>1738</v>
      </c>
      <c r="Y67" s="3">
        <v>2277</v>
      </c>
      <c r="Z67" s="3">
        <v>3432</v>
      </c>
      <c r="AA67" s="7">
        <v>25687.888888888891</v>
      </c>
      <c r="AB67" s="1">
        <v>616509.33333333337</v>
      </c>
      <c r="AC67" s="1">
        <v>0.92238788917452219</v>
      </c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 ht="21" customHeight="1" x14ac:dyDescent="0.3">
      <c r="A68" s="2"/>
      <c r="B68" s="2"/>
      <c r="C68" s="3">
        <v>1</v>
      </c>
      <c r="D68" s="3">
        <v>4</v>
      </c>
      <c r="E68" s="3">
        <v>9</v>
      </c>
      <c r="F68" s="3">
        <v>16</v>
      </c>
      <c r="G68" s="3">
        <v>25</v>
      </c>
      <c r="H68" s="3">
        <v>36</v>
      </c>
      <c r="I68" s="3">
        <v>49</v>
      </c>
      <c r="J68" s="3">
        <v>64</v>
      </c>
      <c r="K68" s="3">
        <v>81</v>
      </c>
      <c r="L68" s="3">
        <v>100</v>
      </c>
      <c r="M68" s="3">
        <v>121</v>
      </c>
      <c r="N68" s="3">
        <v>144</v>
      </c>
      <c r="O68" s="3">
        <v>169</v>
      </c>
      <c r="P68" s="3">
        <v>196</v>
      </c>
      <c r="Q68" s="3">
        <v>225</v>
      </c>
      <c r="R68" s="3">
        <v>256</v>
      </c>
      <c r="S68" s="3">
        <v>289</v>
      </c>
      <c r="T68" s="3">
        <v>324</v>
      </c>
      <c r="U68" s="3">
        <v>361</v>
      </c>
      <c r="V68" s="3">
        <v>400</v>
      </c>
      <c r="W68" s="3">
        <v>441</v>
      </c>
      <c r="X68" s="3">
        <v>484</v>
      </c>
      <c r="Y68" s="3">
        <v>529</v>
      </c>
      <c r="Z68" s="3">
        <v>576</v>
      </c>
      <c r="AA68" s="7">
        <v>4900</v>
      </c>
      <c r="AB68" s="1">
        <v>117600</v>
      </c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 ht="21" customHeight="1" x14ac:dyDescent="0.3">
      <c r="A69" s="2"/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7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 ht="21" customHeight="1" x14ac:dyDescent="0.3">
      <c r="A70" s="2"/>
      <c r="B70" s="2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7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 ht="21" customHeight="1" x14ac:dyDescent="0.3">
      <c r="A71" s="2"/>
      <c r="B71" s="2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7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 ht="21" customHeight="1" x14ac:dyDescent="0.3">
      <c r="A72" s="2"/>
      <c r="B72" s="2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7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 ht="21" customHeight="1" x14ac:dyDescent="0.3">
      <c r="A73" s="2" t="s">
        <v>13</v>
      </c>
      <c r="B73" s="2" t="s">
        <v>66</v>
      </c>
      <c r="C73" s="3">
        <v>213.33333333333334</v>
      </c>
      <c r="D73" s="3">
        <v>243</v>
      </c>
      <c r="E73" s="3">
        <v>131</v>
      </c>
      <c r="F73" s="3">
        <v>266</v>
      </c>
      <c r="G73" s="3">
        <v>332</v>
      </c>
      <c r="H73" s="3">
        <v>107</v>
      </c>
      <c r="I73" s="3">
        <v>530</v>
      </c>
      <c r="J73" s="3">
        <v>307</v>
      </c>
      <c r="K73" s="3">
        <v>291</v>
      </c>
      <c r="L73" s="3">
        <v>621</v>
      </c>
      <c r="M73" s="3">
        <v>322</v>
      </c>
      <c r="N73" s="3">
        <v>431</v>
      </c>
      <c r="O73" s="3">
        <v>342</v>
      </c>
      <c r="P73" s="3">
        <v>509</v>
      </c>
      <c r="Q73" s="3">
        <v>469</v>
      </c>
      <c r="R73" s="3">
        <v>610</v>
      </c>
      <c r="S73" s="3">
        <v>541</v>
      </c>
      <c r="T73" s="3">
        <v>977</v>
      </c>
      <c r="U73" s="3">
        <v>449</v>
      </c>
      <c r="V73" s="3">
        <v>434</v>
      </c>
      <c r="W73" s="3">
        <v>892</v>
      </c>
      <c r="X73" s="3">
        <v>821</v>
      </c>
      <c r="Y73" s="3">
        <v>406</v>
      </c>
      <c r="Z73" s="3">
        <v>644</v>
      </c>
      <c r="AA73" s="7">
        <v>10888.333333333334</v>
      </c>
      <c r="AB73" s="1">
        <v>3266500</v>
      </c>
      <c r="AC73" s="1">
        <v>386.8112325049986</v>
      </c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 ht="21" customHeight="1" x14ac:dyDescent="0.3">
      <c r="A74" s="2"/>
      <c r="B74" s="2"/>
      <c r="C74" s="3">
        <v>213.33333333333334</v>
      </c>
      <c r="D74" s="3">
        <v>486</v>
      </c>
      <c r="E74" s="3">
        <v>393</v>
      </c>
      <c r="F74" s="3">
        <v>1064</v>
      </c>
      <c r="G74" s="3">
        <v>1660</v>
      </c>
      <c r="H74" s="3">
        <v>642</v>
      </c>
      <c r="I74" s="3">
        <v>3710</v>
      </c>
      <c r="J74" s="3">
        <v>2456</v>
      </c>
      <c r="K74" s="3">
        <v>2619</v>
      </c>
      <c r="L74" s="3">
        <v>6210</v>
      </c>
      <c r="M74" s="3">
        <v>3542</v>
      </c>
      <c r="N74" s="3">
        <v>5172</v>
      </c>
      <c r="O74" s="3">
        <v>4446</v>
      </c>
      <c r="P74" s="3">
        <v>7126</v>
      </c>
      <c r="Q74" s="3">
        <v>7035</v>
      </c>
      <c r="R74" s="3">
        <v>9760</v>
      </c>
      <c r="S74" s="3">
        <v>9197</v>
      </c>
      <c r="T74" s="3">
        <v>17586</v>
      </c>
      <c r="U74" s="3">
        <v>8531</v>
      </c>
      <c r="V74" s="3">
        <v>8680</v>
      </c>
      <c r="W74" s="3">
        <v>18732</v>
      </c>
      <c r="X74" s="3">
        <v>18062</v>
      </c>
      <c r="Y74" s="3">
        <v>9338</v>
      </c>
      <c r="Z74" s="3">
        <v>15456</v>
      </c>
      <c r="AA74" s="7">
        <v>162116.33333333334</v>
      </c>
      <c r="AB74" s="1">
        <v>3890792</v>
      </c>
      <c r="AC74" s="1">
        <v>5.3495458440445587</v>
      </c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 ht="21" customHeight="1" x14ac:dyDescent="0.3">
      <c r="A75" s="2"/>
      <c r="B75" s="2"/>
      <c r="C75" s="3">
        <v>1</v>
      </c>
      <c r="D75" s="3">
        <v>4</v>
      </c>
      <c r="E75" s="3">
        <v>9</v>
      </c>
      <c r="F75" s="3">
        <v>16</v>
      </c>
      <c r="G75" s="3">
        <v>25</v>
      </c>
      <c r="H75" s="3">
        <v>36</v>
      </c>
      <c r="I75" s="3">
        <v>49</v>
      </c>
      <c r="J75" s="3">
        <v>64</v>
      </c>
      <c r="K75" s="3">
        <v>81</v>
      </c>
      <c r="L75" s="3">
        <v>100</v>
      </c>
      <c r="M75" s="3">
        <v>121</v>
      </c>
      <c r="N75" s="3">
        <v>144</v>
      </c>
      <c r="O75" s="3">
        <v>169</v>
      </c>
      <c r="P75" s="3">
        <v>196</v>
      </c>
      <c r="Q75" s="3">
        <v>225</v>
      </c>
      <c r="R75" s="3">
        <v>256</v>
      </c>
      <c r="S75" s="3">
        <v>289</v>
      </c>
      <c r="T75" s="3">
        <v>324</v>
      </c>
      <c r="U75" s="3">
        <v>361</v>
      </c>
      <c r="V75" s="3">
        <v>400</v>
      </c>
      <c r="W75" s="3">
        <v>441</v>
      </c>
      <c r="X75" s="3">
        <v>484</v>
      </c>
      <c r="Y75" s="3">
        <v>529</v>
      </c>
      <c r="Z75" s="3">
        <v>576</v>
      </c>
      <c r="AA75" s="7">
        <v>4900</v>
      </c>
      <c r="AB75" s="1">
        <v>117600</v>
      </c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 ht="21" customHeight="1" x14ac:dyDescent="0.3">
      <c r="A76" s="2"/>
      <c r="B76" s="2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7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 ht="21" customHeight="1" x14ac:dyDescent="0.3">
      <c r="A77" s="2"/>
      <c r="B77" s="2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7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 ht="21" customHeight="1" x14ac:dyDescent="0.3">
      <c r="A78" s="2"/>
      <c r="B78" s="2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7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 ht="21" customHeight="1" x14ac:dyDescent="0.3">
      <c r="A79" s="2"/>
      <c r="B79" s="2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7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 ht="21" customHeight="1" x14ac:dyDescent="0.3">
      <c r="A80" s="2" t="s">
        <v>14</v>
      </c>
      <c r="B80" s="2" t="s">
        <v>67</v>
      </c>
      <c r="C80" s="3">
        <v>791.77777777777783</v>
      </c>
      <c r="D80" s="3">
        <v>931.33333333333337</v>
      </c>
      <c r="E80" s="3">
        <v>530</v>
      </c>
      <c r="F80" s="3">
        <v>914</v>
      </c>
      <c r="G80" s="3">
        <v>1350</v>
      </c>
      <c r="H80" s="3">
        <v>398</v>
      </c>
      <c r="I80" s="3">
        <v>1131</v>
      </c>
      <c r="J80" s="3">
        <v>1256</v>
      </c>
      <c r="K80" s="3">
        <v>1107</v>
      </c>
      <c r="L80" s="3">
        <v>1355</v>
      </c>
      <c r="M80" s="3">
        <v>1154</v>
      </c>
      <c r="N80" s="3">
        <v>955</v>
      </c>
      <c r="O80" s="3">
        <v>876</v>
      </c>
      <c r="P80" s="3">
        <v>1186</v>
      </c>
      <c r="Q80" s="3">
        <v>1085</v>
      </c>
      <c r="R80" s="3">
        <v>1435</v>
      </c>
      <c r="S80" s="3">
        <v>949</v>
      </c>
      <c r="T80" s="3">
        <v>1813</v>
      </c>
      <c r="U80" s="3">
        <v>1107</v>
      </c>
      <c r="V80" s="3">
        <v>1146</v>
      </c>
      <c r="W80" s="3">
        <v>1690</v>
      </c>
      <c r="X80" s="3">
        <v>1506</v>
      </c>
      <c r="Y80" s="3">
        <v>1143</v>
      </c>
      <c r="Z80" s="3">
        <v>1828</v>
      </c>
      <c r="AA80" s="7">
        <v>27637.111111111109</v>
      </c>
      <c r="AB80" s="1">
        <v>8291133.333333333</v>
      </c>
      <c r="AC80" s="1">
        <v>1059.1644054079786</v>
      </c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 ht="21" customHeight="1" x14ac:dyDescent="0.3">
      <c r="A81" s="2"/>
      <c r="B81" s="2"/>
      <c r="C81" s="3">
        <v>791.77777777777783</v>
      </c>
      <c r="D81" s="3">
        <v>1862.6666666666667</v>
      </c>
      <c r="E81" s="3">
        <v>1590</v>
      </c>
      <c r="F81" s="3">
        <v>3656</v>
      </c>
      <c r="G81" s="3">
        <v>6750</v>
      </c>
      <c r="H81" s="3">
        <v>2388</v>
      </c>
      <c r="I81" s="3">
        <v>7917</v>
      </c>
      <c r="J81" s="3">
        <v>10048</v>
      </c>
      <c r="K81" s="3">
        <v>9963</v>
      </c>
      <c r="L81" s="3">
        <v>13550</v>
      </c>
      <c r="M81" s="3">
        <v>12694</v>
      </c>
      <c r="N81" s="3">
        <v>11460</v>
      </c>
      <c r="O81" s="3">
        <v>11388</v>
      </c>
      <c r="P81" s="3">
        <v>16604</v>
      </c>
      <c r="Q81" s="3">
        <v>16275</v>
      </c>
      <c r="R81" s="3">
        <v>22960</v>
      </c>
      <c r="S81" s="3">
        <v>16133</v>
      </c>
      <c r="T81" s="3">
        <v>32634</v>
      </c>
      <c r="U81" s="3">
        <v>21033</v>
      </c>
      <c r="V81" s="3">
        <v>22920</v>
      </c>
      <c r="W81" s="3">
        <v>35490</v>
      </c>
      <c r="X81" s="3">
        <v>33132</v>
      </c>
      <c r="Y81" s="3">
        <v>26289</v>
      </c>
      <c r="Z81" s="3">
        <v>43872</v>
      </c>
      <c r="AA81" s="7">
        <v>381400.44444444444</v>
      </c>
      <c r="AB81" s="1">
        <v>9153610.666666666</v>
      </c>
      <c r="AC81" s="1">
        <v>7.3905512710654069</v>
      </c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 ht="21" customHeight="1" x14ac:dyDescent="0.3">
      <c r="A82" s="2"/>
      <c r="B82" s="2"/>
      <c r="C82" s="3">
        <v>1</v>
      </c>
      <c r="D82" s="3">
        <v>4</v>
      </c>
      <c r="E82" s="3">
        <v>9</v>
      </c>
      <c r="F82" s="3">
        <v>16</v>
      </c>
      <c r="G82" s="3">
        <v>25</v>
      </c>
      <c r="H82" s="3">
        <v>36</v>
      </c>
      <c r="I82" s="3">
        <v>49</v>
      </c>
      <c r="J82" s="3">
        <v>64</v>
      </c>
      <c r="K82" s="3">
        <v>81</v>
      </c>
      <c r="L82" s="3">
        <v>100</v>
      </c>
      <c r="M82" s="3">
        <v>121</v>
      </c>
      <c r="N82" s="3">
        <v>144</v>
      </c>
      <c r="O82" s="3">
        <v>169</v>
      </c>
      <c r="P82" s="3">
        <v>196</v>
      </c>
      <c r="Q82" s="3">
        <v>225</v>
      </c>
      <c r="R82" s="3">
        <v>256</v>
      </c>
      <c r="S82" s="3">
        <v>289</v>
      </c>
      <c r="T82" s="3">
        <v>324</v>
      </c>
      <c r="U82" s="3">
        <v>361</v>
      </c>
      <c r="V82" s="3">
        <v>400</v>
      </c>
      <c r="W82" s="3">
        <v>441</v>
      </c>
      <c r="X82" s="3">
        <v>484</v>
      </c>
      <c r="Y82" s="3">
        <v>529</v>
      </c>
      <c r="Z82" s="3">
        <v>576</v>
      </c>
      <c r="AA82" s="7">
        <v>4900</v>
      </c>
      <c r="AB82" s="1">
        <v>117600</v>
      </c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 ht="21" customHeight="1" x14ac:dyDescent="0.3">
      <c r="A83" s="2"/>
      <c r="B83" s="2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7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 ht="21" customHeight="1" x14ac:dyDescent="0.3">
      <c r="A84" s="2"/>
      <c r="B84" s="2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7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 ht="21" customHeight="1" x14ac:dyDescent="0.3">
      <c r="A85" s="2"/>
      <c r="B85" s="2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7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 ht="21" customHeight="1" x14ac:dyDescent="0.3">
      <c r="A86" s="2"/>
      <c r="B86" s="2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7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 ht="21" customHeight="1" x14ac:dyDescent="0.3">
      <c r="A87" s="2" t="s">
        <v>15</v>
      </c>
      <c r="B87" s="2" t="s">
        <v>68</v>
      </c>
      <c r="C87" s="3">
        <v>88.1111111111111</v>
      </c>
      <c r="D87" s="3">
        <v>97.333333333333329</v>
      </c>
      <c r="E87" s="3">
        <v>64</v>
      </c>
      <c r="F87" s="3">
        <v>103</v>
      </c>
      <c r="G87" s="3">
        <v>125</v>
      </c>
      <c r="H87" s="3">
        <v>50</v>
      </c>
      <c r="I87" s="3">
        <v>249</v>
      </c>
      <c r="J87" s="3">
        <v>142</v>
      </c>
      <c r="K87" s="3">
        <v>145</v>
      </c>
      <c r="L87" s="3">
        <v>437</v>
      </c>
      <c r="M87" s="3">
        <v>121</v>
      </c>
      <c r="N87" s="3">
        <v>234</v>
      </c>
      <c r="O87" s="3">
        <v>222</v>
      </c>
      <c r="P87" s="3">
        <v>150</v>
      </c>
      <c r="Q87" s="3">
        <v>300</v>
      </c>
      <c r="R87" s="3">
        <v>192</v>
      </c>
      <c r="S87" s="3">
        <v>289</v>
      </c>
      <c r="T87" s="3">
        <v>239</v>
      </c>
      <c r="U87" s="3">
        <v>312</v>
      </c>
      <c r="V87" s="3">
        <v>171</v>
      </c>
      <c r="W87" s="3">
        <v>177</v>
      </c>
      <c r="X87" s="3">
        <v>644</v>
      </c>
      <c r="Y87" s="3">
        <v>146</v>
      </c>
      <c r="Z87" s="3">
        <v>270</v>
      </c>
      <c r="AA87" s="7">
        <v>4967.4444444444443</v>
      </c>
      <c r="AB87" s="1">
        <v>1490233.3333333333</v>
      </c>
      <c r="AC87" s="1">
        <v>178.04183328572788</v>
      </c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 ht="21" customHeight="1" x14ac:dyDescent="0.3">
      <c r="A88" s="2"/>
      <c r="B88" s="2"/>
      <c r="C88" s="3">
        <v>88.1111111111111</v>
      </c>
      <c r="D88" s="3">
        <v>194.66666666666666</v>
      </c>
      <c r="E88" s="3">
        <v>192</v>
      </c>
      <c r="F88" s="3">
        <v>412</v>
      </c>
      <c r="G88" s="3">
        <v>625</v>
      </c>
      <c r="H88" s="3">
        <v>300</v>
      </c>
      <c r="I88" s="3">
        <v>1743</v>
      </c>
      <c r="J88" s="3">
        <v>1136</v>
      </c>
      <c r="K88" s="3">
        <v>1305</v>
      </c>
      <c r="L88" s="3">
        <v>4370</v>
      </c>
      <c r="M88" s="3">
        <v>1331</v>
      </c>
      <c r="N88" s="3">
        <v>2808</v>
      </c>
      <c r="O88" s="3">
        <v>2886</v>
      </c>
      <c r="P88" s="3">
        <v>2100</v>
      </c>
      <c r="Q88" s="3">
        <v>4500</v>
      </c>
      <c r="R88" s="3">
        <v>3072</v>
      </c>
      <c r="S88" s="3">
        <v>4913</v>
      </c>
      <c r="T88" s="3">
        <v>4302</v>
      </c>
      <c r="U88" s="3">
        <v>5928</v>
      </c>
      <c r="V88" s="3">
        <v>3420</v>
      </c>
      <c r="W88" s="3">
        <v>3717</v>
      </c>
      <c r="X88" s="3">
        <v>14168</v>
      </c>
      <c r="Y88" s="3">
        <v>3358</v>
      </c>
      <c r="Z88" s="3">
        <v>6480</v>
      </c>
      <c r="AA88" s="7">
        <v>73348.777777777781</v>
      </c>
      <c r="AB88" s="1">
        <v>1760370.6666666667</v>
      </c>
      <c r="AC88" s="1">
        <v>2.3148014852899186</v>
      </c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 ht="21" customHeight="1" x14ac:dyDescent="0.3">
      <c r="A89" s="2"/>
      <c r="B89" s="2"/>
      <c r="C89" s="3">
        <v>1</v>
      </c>
      <c r="D89" s="3">
        <v>4</v>
      </c>
      <c r="E89" s="3">
        <v>9</v>
      </c>
      <c r="F89" s="3">
        <v>16</v>
      </c>
      <c r="G89" s="3">
        <v>25</v>
      </c>
      <c r="H89" s="3">
        <v>36</v>
      </c>
      <c r="I89" s="3">
        <v>49</v>
      </c>
      <c r="J89" s="3">
        <v>64</v>
      </c>
      <c r="K89" s="3">
        <v>81</v>
      </c>
      <c r="L89" s="3">
        <v>100</v>
      </c>
      <c r="M89" s="3">
        <v>121</v>
      </c>
      <c r="N89" s="3">
        <v>144</v>
      </c>
      <c r="O89" s="3">
        <v>169</v>
      </c>
      <c r="P89" s="3">
        <v>196</v>
      </c>
      <c r="Q89" s="3">
        <v>225</v>
      </c>
      <c r="R89" s="3">
        <v>256</v>
      </c>
      <c r="S89" s="3">
        <v>289</v>
      </c>
      <c r="T89" s="3">
        <v>324</v>
      </c>
      <c r="U89" s="3">
        <v>361</v>
      </c>
      <c r="V89" s="3">
        <v>400</v>
      </c>
      <c r="W89" s="3">
        <v>441</v>
      </c>
      <c r="X89" s="3">
        <v>484</v>
      </c>
      <c r="Y89" s="3">
        <v>529</v>
      </c>
      <c r="Z89" s="3">
        <v>576</v>
      </c>
      <c r="AA89" s="7">
        <v>4900</v>
      </c>
      <c r="AB89" s="1">
        <v>117600</v>
      </c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 ht="21" customHeight="1" x14ac:dyDescent="0.3">
      <c r="A90" s="2"/>
      <c r="B90" s="2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7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 ht="21" customHeight="1" x14ac:dyDescent="0.3">
      <c r="A91" s="2"/>
      <c r="B91" s="2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7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 ht="21" customHeight="1" x14ac:dyDescent="0.3">
      <c r="A92" s="2"/>
      <c r="B92" s="2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7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 ht="21" customHeight="1" x14ac:dyDescent="0.3">
      <c r="A93" s="2"/>
      <c r="B93" s="2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7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 ht="21" customHeight="1" x14ac:dyDescent="0.3">
      <c r="A94" s="2" t="s">
        <v>16</v>
      </c>
      <c r="B94" s="2" t="s">
        <v>69</v>
      </c>
      <c r="C94" s="3">
        <v>721.66666666666663</v>
      </c>
      <c r="D94" s="3">
        <v>809</v>
      </c>
      <c r="E94" s="3">
        <v>364</v>
      </c>
      <c r="F94" s="3">
        <v>992</v>
      </c>
      <c r="G94" s="3">
        <v>1071</v>
      </c>
      <c r="H94" s="3">
        <v>359</v>
      </c>
      <c r="I94" s="3">
        <v>1268</v>
      </c>
      <c r="J94" s="3">
        <v>820</v>
      </c>
      <c r="K94" s="3">
        <v>870</v>
      </c>
      <c r="L94" s="3">
        <v>998</v>
      </c>
      <c r="M94" s="3">
        <v>2017</v>
      </c>
      <c r="N94" s="3">
        <v>1073</v>
      </c>
      <c r="O94" s="3">
        <v>730</v>
      </c>
      <c r="P94" s="3">
        <v>2190</v>
      </c>
      <c r="Q94" s="3">
        <v>808</v>
      </c>
      <c r="R94" s="3">
        <v>1244</v>
      </c>
      <c r="S94" s="3">
        <v>1217</v>
      </c>
      <c r="T94" s="3">
        <v>1174</v>
      </c>
      <c r="U94" s="3">
        <v>939</v>
      </c>
      <c r="V94" s="3">
        <v>2746</v>
      </c>
      <c r="W94" s="3">
        <v>870</v>
      </c>
      <c r="X94" s="3">
        <v>2591</v>
      </c>
      <c r="Y94" s="3">
        <v>1732</v>
      </c>
      <c r="Z94" s="3">
        <v>1451</v>
      </c>
      <c r="AA94" s="7">
        <v>29054.666666666664</v>
      </c>
      <c r="AB94" s="1">
        <v>8716400</v>
      </c>
      <c r="AC94" s="1">
        <v>1064.7953441873749</v>
      </c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 ht="21" customHeight="1" x14ac:dyDescent="0.3">
      <c r="A95" s="2"/>
      <c r="B95" s="2"/>
      <c r="C95" s="3">
        <v>721.66666666666663</v>
      </c>
      <c r="D95" s="3">
        <v>1618</v>
      </c>
      <c r="E95" s="3">
        <v>1092</v>
      </c>
      <c r="F95" s="3">
        <v>3968</v>
      </c>
      <c r="G95" s="3">
        <v>5355</v>
      </c>
      <c r="H95" s="3">
        <v>2154</v>
      </c>
      <c r="I95" s="3">
        <v>8876</v>
      </c>
      <c r="J95" s="3">
        <v>6560</v>
      </c>
      <c r="K95" s="3">
        <v>7830</v>
      </c>
      <c r="L95" s="3">
        <v>9980</v>
      </c>
      <c r="M95" s="3">
        <v>22187</v>
      </c>
      <c r="N95" s="3">
        <v>12876</v>
      </c>
      <c r="O95" s="3">
        <v>9490</v>
      </c>
      <c r="P95" s="3">
        <v>30660</v>
      </c>
      <c r="Q95" s="3">
        <v>12120</v>
      </c>
      <c r="R95" s="3">
        <v>19904</v>
      </c>
      <c r="S95" s="3">
        <v>20689</v>
      </c>
      <c r="T95" s="3">
        <v>21132</v>
      </c>
      <c r="U95" s="3">
        <v>17841</v>
      </c>
      <c r="V95" s="3">
        <v>54920</v>
      </c>
      <c r="W95" s="3">
        <v>18270</v>
      </c>
      <c r="X95" s="3">
        <v>57002</v>
      </c>
      <c r="Y95" s="3">
        <v>39836</v>
      </c>
      <c r="Z95" s="3">
        <v>34824</v>
      </c>
      <c r="AA95" s="7">
        <v>419905.66666666663</v>
      </c>
      <c r="AB95" s="1">
        <v>10077736</v>
      </c>
      <c r="AC95" s="1">
        <v>11.665261353898886</v>
      </c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 ht="21" customHeight="1" x14ac:dyDescent="0.3">
      <c r="A96" s="2"/>
      <c r="B96" s="2"/>
      <c r="C96" s="3">
        <v>1</v>
      </c>
      <c r="D96" s="3">
        <v>4</v>
      </c>
      <c r="E96" s="3">
        <v>9</v>
      </c>
      <c r="F96" s="3">
        <v>16</v>
      </c>
      <c r="G96" s="3">
        <v>25</v>
      </c>
      <c r="H96" s="3">
        <v>36</v>
      </c>
      <c r="I96" s="3">
        <v>49</v>
      </c>
      <c r="J96" s="3">
        <v>64</v>
      </c>
      <c r="K96" s="3">
        <v>81</v>
      </c>
      <c r="L96" s="3">
        <v>100</v>
      </c>
      <c r="M96" s="3">
        <v>121</v>
      </c>
      <c r="N96" s="3">
        <v>144</v>
      </c>
      <c r="O96" s="3">
        <v>169</v>
      </c>
      <c r="P96" s="3">
        <v>196</v>
      </c>
      <c r="Q96" s="3">
        <v>225</v>
      </c>
      <c r="R96" s="3">
        <v>256</v>
      </c>
      <c r="S96" s="3">
        <v>289</v>
      </c>
      <c r="T96" s="3">
        <v>324</v>
      </c>
      <c r="U96" s="3">
        <v>361</v>
      </c>
      <c r="V96" s="3">
        <v>400</v>
      </c>
      <c r="W96" s="3">
        <v>441</v>
      </c>
      <c r="X96" s="3">
        <v>484</v>
      </c>
      <c r="Y96" s="3">
        <v>529</v>
      </c>
      <c r="Z96" s="3">
        <v>576</v>
      </c>
      <c r="AA96" s="7">
        <v>4900</v>
      </c>
      <c r="AB96" s="1">
        <v>117600</v>
      </c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 ht="21" customHeight="1" x14ac:dyDescent="0.3">
      <c r="A97" s="2"/>
      <c r="B97" s="2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7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 ht="21" customHeight="1" x14ac:dyDescent="0.3">
      <c r="A98" s="2"/>
      <c r="B98" s="2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7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 ht="21" customHeight="1" x14ac:dyDescent="0.3">
      <c r="A99" s="2"/>
      <c r="B99" s="2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7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 ht="21" customHeight="1" x14ac:dyDescent="0.3">
      <c r="A100" s="2"/>
      <c r="B100" s="2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7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 ht="21" customHeight="1" x14ac:dyDescent="0.3">
      <c r="A101" s="2" t="s">
        <v>17</v>
      </c>
      <c r="B101" s="2" t="s">
        <v>70</v>
      </c>
      <c r="C101" s="3">
        <v>526.66666666666663</v>
      </c>
      <c r="D101" s="3">
        <v>609</v>
      </c>
      <c r="E101" s="3">
        <v>469</v>
      </c>
      <c r="F101" s="3">
        <v>502</v>
      </c>
      <c r="G101" s="3">
        <v>856</v>
      </c>
      <c r="H101" s="3">
        <v>202</v>
      </c>
      <c r="I101" s="3">
        <v>642</v>
      </c>
      <c r="J101" s="3">
        <v>573</v>
      </c>
      <c r="K101" s="3">
        <v>607</v>
      </c>
      <c r="L101" s="3">
        <v>957</v>
      </c>
      <c r="M101" s="3">
        <v>750</v>
      </c>
      <c r="N101" s="3">
        <v>876</v>
      </c>
      <c r="O101" s="3">
        <v>574</v>
      </c>
      <c r="P101" s="3">
        <v>995</v>
      </c>
      <c r="Q101" s="3">
        <v>639</v>
      </c>
      <c r="R101" s="3">
        <v>1472</v>
      </c>
      <c r="S101" s="3">
        <v>961</v>
      </c>
      <c r="T101" s="3">
        <v>842</v>
      </c>
      <c r="U101" s="3">
        <v>785</v>
      </c>
      <c r="V101" s="3">
        <v>708</v>
      </c>
      <c r="W101" s="3">
        <v>823</v>
      </c>
      <c r="X101" s="3">
        <v>1610</v>
      </c>
      <c r="Y101" s="3">
        <v>1184</v>
      </c>
      <c r="Z101" s="3">
        <v>1140</v>
      </c>
      <c r="AA101" s="7">
        <v>19302.666666666664</v>
      </c>
      <c r="AB101" s="1">
        <v>5790799.9999999991</v>
      </c>
      <c r="AC101" s="1">
        <v>715.24607255069975</v>
      </c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 ht="21" customHeight="1" x14ac:dyDescent="0.3">
      <c r="A102" s="2"/>
      <c r="B102" s="2"/>
      <c r="C102" s="3">
        <v>526.66666666666663</v>
      </c>
      <c r="D102" s="3">
        <v>1218</v>
      </c>
      <c r="E102" s="3">
        <v>1407</v>
      </c>
      <c r="F102" s="3">
        <v>2008</v>
      </c>
      <c r="G102" s="3">
        <v>4280</v>
      </c>
      <c r="H102" s="3">
        <v>1212</v>
      </c>
      <c r="I102" s="3">
        <v>4494</v>
      </c>
      <c r="J102" s="3">
        <v>4584</v>
      </c>
      <c r="K102" s="3">
        <v>5463</v>
      </c>
      <c r="L102" s="3">
        <v>9570</v>
      </c>
      <c r="M102" s="3">
        <v>8250</v>
      </c>
      <c r="N102" s="3">
        <v>10512</v>
      </c>
      <c r="O102" s="3">
        <v>7462</v>
      </c>
      <c r="P102" s="3">
        <v>13930</v>
      </c>
      <c r="Q102" s="3">
        <v>9585</v>
      </c>
      <c r="R102" s="3">
        <v>23552</v>
      </c>
      <c r="S102" s="3">
        <v>16337</v>
      </c>
      <c r="T102" s="3">
        <v>15156</v>
      </c>
      <c r="U102" s="3">
        <v>14915</v>
      </c>
      <c r="V102" s="3">
        <v>14160</v>
      </c>
      <c r="W102" s="3">
        <v>17283</v>
      </c>
      <c r="X102" s="3">
        <v>35420</v>
      </c>
      <c r="Y102" s="3">
        <v>27232</v>
      </c>
      <c r="Z102" s="3">
        <v>27360</v>
      </c>
      <c r="AA102" s="7">
        <v>275916.66666666663</v>
      </c>
      <c r="AB102" s="1">
        <v>6621999.9999999991</v>
      </c>
      <c r="AC102" s="1">
        <v>7.1225364181662378</v>
      </c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 ht="21" customHeight="1" x14ac:dyDescent="0.3">
      <c r="A103" s="2"/>
      <c r="B103" s="2"/>
      <c r="C103" s="3">
        <v>1</v>
      </c>
      <c r="D103" s="3">
        <v>4</v>
      </c>
      <c r="E103" s="3">
        <v>9</v>
      </c>
      <c r="F103" s="3">
        <v>16</v>
      </c>
      <c r="G103" s="3">
        <v>25</v>
      </c>
      <c r="H103" s="3">
        <v>36</v>
      </c>
      <c r="I103" s="3">
        <v>49</v>
      </c>
      <c r="J103" s="3">
        <v>64</v>
      </c>
      <c r="K103" s="3">
        <v>81</v>
      </c>
      <c r="L103" s="3">
        <v>100</v>
      </c>
      <c r="M103" s="3">
        <v>121</v>
      </c>
      <c r="N103" s="3">
        <v>144</v>
      </c>
      <c r="O103" s="3">
        <v>169</v>
      </c>
      <c r="P103" s="3">
        <v>196</v>
      </c>
      <c r="Q103" s="3">
        <v>225</v>
      </c>
      <c r="R103" s="3">
        <v>256</v>
      </c>
      <c r="S103" s="3">
        <v>289</v>
      </c>
      <c r="T103" s="3">
        <v>324</v>
      </c>
      <c r="U103" s="3">
        <v>361</v>
      </c>
      <c r="V103" s="3">
        <v>400</v>
      </c>
      <c r="W103" s="3">
        <v>441</v>
      </c>
      <c r="X103" s="3">
        <v>484</v>
      </c>
      <c r="Y103" s="3">
        <v>529</v>
      </c>
      <c r="Z103" s="3">
        <v>576</v>
      </c>
      <c r="AA103" s="7">
        <v>4900</v>
      </c>
      <c r="AB103" s="1">
        <v>117600</v>
      </c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 ht="21" customHeight="1" x14ac:dyDescent="0.3">
      <c r="A104" s="2"/>
      <c r="B104" s="2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7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 ht="21" customHeight="1" x14ac:dyDescent="0.3">
      <c r="A105" s="2"/>
      <c r="B105" s="2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7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 ht="21" customHeight="1" x14ac:dyDescent="0.3">
      <c r="A106" s="2"/>
      <c r="B106" s="2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7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 ht="21" customHeight="1" x14ac:dyDescent="0.3">
      <c r="A107" s="2"/>
      <c r="B107" s="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7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 ht="21" customHeight="1" x14ac:dyDescent="0.3">
      <c r="A108" s="2" t="s">
        <v>18</v>
      </c>
      <c r="B108" s="2" t="s">
        <v>71</v>
      </c>
      <c r="C108" s="3">
        <v>36.222222222222221</v>
      </c>
      <c r="D108" s="3">
        <v>39.666666666666664</v>
      </c>
      <c r="E108" s="3">
        <v>23</v>
      </c>
      <c r="F108" s="3">
        <v>46</v>
      </c>
      <c r="G108" s="3">
        <v>50</v>
      </c>
      <c r="H108" s="3">
        <v>30</v>
      </c>
      <c r="I108" s="3">
        <v>36</v>
      </c>
      <c r="J108" s="3">
        <v>38</v>
      </c>
      <c r="K108" s="3">
        <v>73</v>
      </c>
      <c r="L108" s="3">
        <v>44</v>
      </c>
      <c r="M108" s="3">
        <v>58</v>
      </c>
      <c r="N108" s="3">
        <v>66</v>
      </c>
      <c r="O108" s="3">
        <v>49</v>
      </c>
      <c r="P108" s="3">
        <v>51</v>
      </c>
      <c r="Q108" s="3">
        <v>71</v>
      </c>
      <c r="R108" s="3">
        <v>57</v>
      </c>
      <c r="S108" s="3">
        <v>65</v>
      </c>
      <c r="T108" s="3">
        <v>124</v>
      </c>
      <c r="U108" s="3">
        <v>45</v>
      </c>
      <c r="V108" s="3">
        <v>82</v>
      </c>
      <c r="W108" s="3">
        <v>86</v>
      </c>
      <c r="X108" s="3">
        <v>82</v>
      </c>
      <c r="Y108" s="3">
        <v>209</v>
      </c>
      <c r="Z108" s="3">
        <v>78</v>
      </c>
      <c r="AA108" s="7">
        <v>1538.8888888888889</v>
      </c>
      <c r="AB108" s="1">
        <v>461666.66666666669</v>
      </c>
      <c r="AC108" s="1">
        <v>53.59480624583454</v>
      </c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 ht="21" customHeight="1" x14ac:dyDescent="0.3">
      <c r="A109" s="2"/>
      <c r="B109" s="2"/>
      <c r="C109" s="3">
        <v>36.222222222222221</v>
      </c>
      <c r="D109" s="3">
        <v>79.333333333333329</v>
      </c>
      <c r="E109" s="3">
        <v>69</v>
      </c>
      <c r="F109" s="3">
        <v>184</v>
      </c>
      <c r="G109" s="3">
        <v>250</v>
      </c>
      <c r="H109" s="3">
        <v>180</v>
      </c>
      <c r="I109" s="3">
        <v>252</v>
      </c>
      <c r="J109" s="3">
        <v>304</v>
      </c>
      <c r="K109" s="3">
        <v>657</v>
      </c>
      <c r="L109" s="3">
        <v>440</v>
      </c>
      <c r="M109" s="3">
        <v>638</v>
      </c>
      <c r="N109" s="3">
        <v>792</v>
      </c>
      <c r="O109" s="3">
        <v>637</v>
      </c>
      <c r="P109" s="3">
        <v>714</v>
      </c>
      <c r="Q109" s="3">
        <v>1065</v>
      </c>
      <c r="R109" s="3">
        <v>912</v>
      </c>
      <c r="S109" s="3">
        <v>1105</v>
      </c>
      <c r="T109" s="3">
        <v>2232</v>
      </c>
      <c r="U109" s="3">
        <v>855</v>
      </c>
      <c r="V109" s="3">
        <v>1640</v>
      </c>
      <c r="W109" s="3">
        <v>1806</v>
      </c>
      <c r="X109" s="3">
        <v>1804</v>
      </c>
      <c r="Y109" s="3">
        <v>4807</v>
      </c>
      <c r="Z109" s="3">
        <v>1872</v>
      </c>
      <c r="AA109" s="7">
        <v>23330.555555555555</v>
      </c>
      <c r="AB109" s="1">
        <v>559933.33333333326</v>
      </c>
      <c r="AC109" s="1">
        <v>0.84204512996286696</v>
      </c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 ht="21" customHeight="1" x14ac:dyDescent="0.3">
      <c r="A110" s="2"/>
      <c r="B110" s="2"/>
      <c r="C110" s="3">
        <v>1</v>
      </c>
      <c r="D110" s="3">
        <v>4</v>
      </c>
      <c r="E110" s="3">
        <v>9</v>
      </c>
      <c r="F110" s="3">
        <v>16</v>
      </c>
      <c r="G110" s="3">
        <v>25</v>
      </c>
      <c r="H110" s="3">
        <v>36</v>
      </c>
      <c r="I110" s="3">
        <v>49</v>
      </c>
      <c r="J110" s="3">
        <v>64</v>
      </c>
      <c r="K110" s="3">
        <v>81</v>
      </c>
      <c r="L110" s="3">
        <v>100</v>
      </c>
      <c r="M110" s="3">
        <v>121</v>
      </c>
      <c r="N110" s="3">
        <v>144</v>
      </c>
      <c r="O110" s="3">
        <v>169</v>
      </c>
      <c r="P110" s="3">
        <v>196</v>
      </c>
      <c r="Q110" s="3">
        <v>225</v>
      </c>
      <c r="R110" s="3">
        <v>256</v>
      </c>
      <c r="S110" s="3">
        <v>289</v>
      </c>
      <c r="T110" s="3">
        <v>324</v>
      </c>
      <c r="U110" s="3">
        <v>361</v>
      </c>
      <c r="V110" s="3">
        <v>400</v>
      </c>
      <c r="W110" s="3">
        <v>441</v>
      </c>
      <c r="X110" s="3">
        <v>484</v>
      </c>
      <c r="Y110" s="3">
        <v>529</v>
      </c>
      <c r="Z110" s="3">
        <v>576</v>
      </c>
      <c r="AA110" s="7">
        <v>4900</v>
      </c>
      <c r="AB110" s="1">
        <v>117600</v>
      </c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 ht="21" customHeight="1" x14ac:dyDescent="0.3">
      <c r="A111" s="2"/>
      <c r="B111" s="2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7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 ht="21" customHeight="1" x14ac:dyDescent="0.3">
      <c r="A112" s="2"/>
      <c r="B112" s="2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7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 ht="21" customHeight="1" x14ac:dyDescent="0.3">
      <c r="A113" s="2"/>
      <c r="B113" s="2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7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 ht="21" customHeight="1" x14ac:dyDescent="0.3">
      <c r="A114" s="2"/>
      <c r="B114" s="2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7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 ht="21" customHeight="1" x14ac:dyDescent="0.3">
      <c r="A115" s="2" t="s">
        <v>19</v>
      </c>
      <c r="B115" s="2" t="s">
        <v>72</v>
      </c>
      <c r="C115" s="3">
        <v>45.222222222222221</v>
      </c>
      <c r="D115" s="3">
        <v>50.666666666666664</v>
      </c>
      <c r="E115" s="3">
        <v>39</v>
      </c>
      <c r="F115" s="3">
        <v>46</v>
      </c>
      <c r="G115" s="3">
        <v>67</v>
      </c>
      <c r="H115" s="3">
        <v>10</v>
      </c>
      <c r="I115" s="3">
        <v>56</v>
      </c>
      <c r="J115" s="3">
        <v>65</v>
      </c>
      <c r="K115" s="3">
        <v>57</v>
      </c>
      <c r="L115" s="3">
        <v>89</v>
      </c>
      <c r="M115" s="3">
        <v>37</v>
      </c>
      <c r="N115" s="3">
        <v>117</v>
      </c>
      <c r="O115" s="3">
        <v>42</v>
      </c>
      <c r="P115" s="3">
        <v>86</v>
      </c>
      <c r="Q115" s="3">
        <v>60</v>
      </c>
      <c r="R115" s="3">
        <v>89</v>
      </c>
      <c r="S115" s="3">
        <v>116</v>
      </c>
      <c r="T115" s="3">
        <v>78</v>
      </c>
      <c r="U115" s="3">
        <v>47</v>
      </c>
      <c r="V115" s="3">
        <v>55</v>
      </c>
      <c r="W115" s="3">
        <v>64</v>
      </c>
      <c r="X115" s="3">
        <v>88</v>
      </c>
      <c r="Y115" s="3">
        <v>224</v>
      </c>
      <c r="Z115" s="3">
        <v>74</v>
      </c>
      <c r="AA115" s="7">
        <v>1701.8888888888889</v>
      </c>
      <c r="AB115" s="1">
        <v>510566.66666666669</v>
      </c>
      <c r="AC115" s="1">
        <v>62.310637436922796</v>
      </c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 ht="21" customHeight="1" x14ac:dyDescent="0.3">
      <c r="A116" s="2"/>
      <c r="B116" s="2"/>
      <c r="C116" s="3">
        <v>45.222222222222221</v>
      </c>
      <c r="D116" s="3">
        <v>101.33333333333333</v>
      </c>
      <c r="E116" s="3">
        <v>117</v>
      </c>
      <c r="F116" s="3">
        <v>184</v>
      </c>
      <c r="G116" s="3">
        <v>335</v>
      </c>
      <c r="H116" s="3">
        <v>60</v>
      </c>
      <c r="I116" s="3">
        <v>392</v>
      </c>
      <c r="J116" s="3">
        <v>520</v>
      </c>
      <c r="K116" s="3">
        <v>513</v>
      </c>
      <c r="L116" s="3">
        <v>890</v>
      </c>
      <c r="M116" s="3">
        <v>407</v>
      </c>
      <c r="N116" s="3">
        <v>1404</v>
      </c>
      <c r="O116" s="3">
        <v>546</v>
      </c>
      <c r="P116" s="3">
        <v>1204</v>
      </c>
      <c r="Q116" s="3">
        <v>900</v>
      </c>
      <c r="R116" s="3">
        <v>1424</v>
      </c>
      <c r="S116" s="3">
        <v>1972</v>
      </c>
      <c r="T116" s="3">
        <v>1404</v>
      </c>
      <c r="U116" s="3">
        <v>893</v>
      </c>
      <c r="V116" s="3">
        <v>1100</v>
      </c>
      <c r="W116" s="3">
        <v>1344</v>
      </c>
      <c r="X116" s="3">
        <v>1936</v>
      </c>
      <c r="Y116" s="3">
        <v>5152</v>
      </c>
      <c r="Z116" s="3">
        <v>1776</v>
      </c>
      <c r="AA116" s="7">
        <v>24619.555555555555</v>
      </c>
      <c r="AB116" s="1">
        <v>590869.33333333326</v>
      </c>
      <c r="AC116" s="1">
        <v>0.68811196800913943</v>
      </c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 ht="21" customHeight="1" x14ac:dyDescent="0.3">
      <c r="A117" s="2"/>
      <c r="B117" s="2"/>
      <c r="C117" s="3">
        <v>1</v>
      </c>
      <c r="D117" s="3">
        <v>4</v>
      </c>
      <c r="E117" s="3">
        <v>9</v>
      </c>
      <c r="F117" s="3">
        <v>16</v>
      </c>
      <c r="G117" s="3">
        <v>25</v>
      </c>
      <c r="H117" s="3">
        <v>36</v>
      </c>
      <c r="I117" s="3">
        <v>49</v>
      </c>
      <c r="J117" s="3">
        <v>64</v>
      </c>
      <c r="K117" s="3">
        <v>81</v>
      </c>
      <c r="L117" s="3">
        <v>100</v>
      </c>
      <c r="M117" s="3">
        <v>121</v>
      </c>
      <c r="N117" s="3">
        <v>144</v>
      </c>
      <c r="O117" s="3">
        <v>169</v>
      </c>
      <c r="P117" s="3">
        <v>196</v>
      </c>
      <c r="Q117" s="3">
        <v>225</v>
      </c>
      <c r="R117" s="3">
        <v>256</v>
      </c>
      <c r="S117" s="3">
        <v>289</v>
      </c>
      <c r="T117" s="3">
        <v>324</v>
      </c>
      <c r="U117" s="3">
        <v>361</v>
      </c>
      <c r="V117" s="3">
        <v>400</v>
      </c>
      <c r="W117" s="3">
        <v>441</v>
      </c>
      <c r="X117" s="3">
        <v>484</v>
      </c>
      <c r="Y117" s="3">
        <v>529</v>
      </c>
      <c r="Z117" s="3">
        <v>576</v>
      </c>
      <c r="AA117" s="7">
        <v>4900</v>
      </c>
      <c r="AB117" s="1">
        <v>117600</v>
      </c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 ht="21" customHeight="1" x14ac:dyDescent="0.3">
      <c r="A118" s="2"/>
      <c r="B118" s="2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7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 ht="21" customHeight="1" x14ac:dyDescent="0.3">
      <c r="A119" s="2"/>
      <c r="B119" s="2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7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 ht="21" customHeight="1" x14ac:dyDescent="0.3">
      <c r="A120" s="2"/>
      <c r="B120" s="2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7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 ht="21" customHeight="1" x14ac:dyDescent="0.3">
      <c r="A121" s="2"/>
      <c r="B121" s="2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7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 ht="21" customHeight="1" x14ac:dyDescent="0.3">
      <c r="A122" s="2" t="s">
        <v>20</v>
      </c>
      <c r="B122" s="2" t="s">
        <v>73</v>
      </c>
      <c r="C122" s="3">
        <v>22.888888888888889</v>
      </c>
      <c r="D122" s="3">
        <v>24.666666666666668</v>
      </c>
      <c r="E122" s="3">
        <v>21</v>
      </c>
      <c r="F122" s="3">
        <v>23</v>
      </c>
      <c r="G122" s="3">
        <v>30</v>
      </c>
      <c r="H122" s="3">
        <v>3</v>
      </c>
      <c r="I122" s="3">
        <v>20</v>
      </c>
      <c r="J122" s="3">
        <v>31</v>
      </c>
      <c r="K122" s="3">
        <v>9</v>
      </c>
      <c r="L122" s="3">
        <v>35</v>
      </c>
      <c r="M122" s="3">
        <v>14</v>
      </c>
      <c r="N122" s="3">
        <v>30</v>
      </c>
      <c r="O122" s="3">
        <v>12</v>
      </c>
      <c r="P122" s="3">
        <v>13</v>
      </c>
      <c r="Q122" s="3">
        <v>7</v>
      </c>
      <c r="R122" s="3">
        <v>179</v>
      </c>
      <c r="S122" s="3">
        <v>77</v>
      </c>
      <c r="T122" s="3">
        <v>31</v>
      </c>
      <c r="U122" s="3">
        <v>79</v>
      </c>
      <c r="V122" s="3">
        <v>32</v>
      </c>
      <c r="W122" s="3">
        <v>29</v>
      </c>
      <c r="X122" s="3">
        <v>16</v>
      </c>
      <c r="Y122" s="3">
        <v>31</v>
      </c>
      <c r="Z122" s="3">
        <v>17</v>
      </c>
      <c r="AA122" s="7">
        <v>786.55555555555554</v>
      </c>
      <c r="AB122" s="1">
        <v>235966.66666666666</v>
      </c>
      <c r="AC122" s="1">
        <v>29.44852661144434</v>
      </c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 ht="21" customHeight="1" x14ac:dyDescent="0.3">
      <c r="A123" s="2"/>
      <c r="B123" s="2"/>
      <c r="C123" s="3">
        <v>22.888888888888889</v>
      </c>
      <c r="D123" s="3">
        <v>49.333333333333336</v>
      </c>
      <c r="E123" s="3">
        <v>63</v>
      </c>
      <c r="F123" s="3">
        <v>92</v>
      </c>
      <c r="G123" s="3">
        <v>150</v>
      </c>
      <c r="H123" s="3">
        <v>18</v>
      </c>
      <c r="I123" s="3">
        <v>140</v>
      </c>
      <c r="J123" s="3">
        <v>248</v>
      </c>
      <c r="K123" s="3">
        <v>81</v>
      </c>
      <c r="L123" s="3">
        <v>350</v>
      </c>
      <c r="M123" s="3">
        <v>154</v>
      </c>
      <c r="N123" s="3">
        <v>360</v>
      </c>
      <c r="O123" s="3">
        <v>156</v>
      </c>
      <c r="P123" s="3">
        <v>182</v>
      </c>
      <c r="Q123" s="3">
        <v>105</v>
      </c>
      <c r="R123" s="3">
        <v>2864</v>
      </c>
      <c r="S123" s="3">
        <v>1309</v>
      </c>
      <c r="T123" s="3">
        <v>558</v>
      </c>
      <c r="U123" s="3">
        <v>1501</v>
      </c>
      <c r="V123" s="3">
        <v>640</v>
      </c>
      <c r="W123" s="3">
        <v>609</v>
      </c>
      <c r="X123" s="3">
        <v>352</v>
      </c>
      <c r="Y123" s="3">
        <v>713</v>
      </c>
      <c r="Z123" s="3">
        <v>408</v>
      </c>
      <c r="AA123" s="7">
        <v>11125.222222222223</v>
      </c>
      <c r="AB123" s="1">
        <v>267005.33333333337</v>
      </c>
      <c r="AC123" s="1">
        <v>0.26596972293630433</v>
      </c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 ht="21" customHeight="1" x14ac:dyDescent="0.3">
      <c r="A124" s="2"/>
      <c r="B124" s="2"/>
      <c r="C124" s="3">
        <v>1</v>
      </c>
      <c r="D124" s="3">
        <v>4</v>
      </c>
      <c r="E124" s="3">
        <v>9</v>
      </c>
      <c r="F124" s="3">
        <v>16</v>
      </c>
      <c r="G124" s="3">
        <v>25</v>
      </c>
      <c r="H124" s="3">
        <v>36</v>
      </c>
      <c r="I124" s="3">
        <v>49</v>
      </c>
      <c r="J124" s="3">
        <v>64</v>
      </c>
      <c r="K124" s="3">
        <v>81</v>
      </c>
      <c r="L124" s="3">
        <v>100</v>
      </c>
      <c r="M124" s="3">
        <v>121</v>
      </c>
      <c r="N124" s="3">
        <v>144</v>
      </c>
      <c r="O124" s="3">
        <v>169</v>
      </c>
      <c r="P124" s="3">
        <v>196</v>
      </c>
      <c r="Q124" s="3">
        <v>225</v>
      </c>
      <c r="R124" s="3">
        <v>256</v>
      </c>
      <c r="S124" s="3">
        <v>289</v>
      </c>
      <c r="T124" s="3">
        <v>324</v>
      </c>
      <c r="U124" s="3">
        <v>361</v>
      </c>
      <c r="V124" s="3">
        <v>400</v>
      </c>
      <c r="W124" s="3">
        <v>441</v>
      </c>
      <c r="X124" s="3">
        <v>484</v>
      </c>
      <c r="Y124" s="3">
        <v>529</v>
      </c>
      <c r="Z124" s="3">
        <v>576</v>
      </c>
      <c r="AA124" s="7">
        <v>4900</v>
      </c>
      <c r="AB124" s="1">
        <v>117600</v>
      </c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 ht="21" customHeight="1" x14ac:dyDescent="0.3">
      <c r="A125" s="2"/>
      <c r="B125" s="2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7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 ht="21" customHeight="1" x14ac:dyDescent="0.3">
      <c r="A126" s="2"/>
      <c r="B126" s="2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7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 ht="21" customHeight="1" x14ac:dyDescent="0.3">
      <c r="A127" s="2"/>
      <c r="B127" s="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7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 ht="21" customHeight="1" x14ac:dyDescent="0.3">
      <c r="A128" s="2"/>
      <c r="B128" s="2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7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 ht="21" customHeight="1" x14ac:dyDescent="0.3">
      <c r="A129" s="2" t="s">
        <v>21</v>
      </c>
      <c r="B129" s="2" t="s">
        <v>74</v>
      </c>
      <c r="C129" s="3">
        <v>87.8888888888889</v>
      </c>
      <c r="D129" s="3">
        <v>112.66666666666667</v>
      </c>
      <c r="E129" s="3">
        <v>53</v>
      </c>
      <c r="F129" s="3">
        <v>98</v>
      </c>
      <c r="G129" s="3">
        <v>187</v>
      </c>
      <c r="H129" s="3">
        <v>61</v>
      </c>
      <c r="I129" s="3">
        <v>163</v>
      </c>
      <c r="J129" s="3">
        <v>167</v>
      </c>
      <c r="K129" s="3">
        <v>103</v>
      </c>
      <c r="L129" s="3">
        <v>186</v>
      </c>
      <c r="M129" s="3">
        <v>87</v>
      </c>
      <c r="N129" s="3">
        <v>224</v>
      </c>
      <c r="O129" s="3">
        <v>127</v>
      </c>
      <c r="P129" s="3">
        <v>183</v>
      </c>
      <c r="Q129" s="3">
        <v>88</v>
      </c>
      <c r="R129" s="3">
        <v>257</v>
      </c>
      <c r="S129" s="3">
        <v>286</v>
      </c>
      <c r="T129" s="3">
        <v>211</v>
      </c>
      <c r="U129" s="3">
        <v>209</v>
      </c>
      <c r="V129" s="3">
        <v>313</v>
      </c>
      <c r="W129" s="3">
        <v>190</v>
      </c>
      <c r="X129" s="3">
        <v>165</v>
      </c>
      <c r="Y129" s="3">
        <v>276</v>
      </c>
      <c r="Z129" s="3">
        <v>389</v>
      </c>
      <c r="AA129" s="7">
        <v>4223.5555555555557</v>
      </c>
      <c r="AB129" s="1">
        <v>1267066.6666666667</v>
      </c>
      <c r="AC129" s="1">
        <v>149.96662858230982</v>
      </c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 ht="21" customHeight="1" x14ac:dyDescent="0.3">
      <c r="A130" s="2"/>
      <c r="B130" s="2"/>
      <c r="C130" s="3">
        <v>87.8888888888889</v>
      </c>
      <c r="D130" s="3">
        <v>225.33333333333334</v>
      </c>
      <c r="E130" s="3">
        <v>159</v>
      </c>
      <c r="F130" s="3">
        <v>392</v>
      </c>
      <c r="G130" s="3">
        <v>935</v>
      </c>
      <c r="H130" s="3">
        <v>366</v>
      </c>
      <c r="I130" s="3">
        <v>1141</v>
      </c>
      <c r="J130" s="3">
        <v>1336</v>
      </c>
      <c r="K130" s="3">
        <v>927</v>
      </c>
      <c r="L130" s="3">
        <v>1860</v>
      </c>
      <c r="M130" s="3">
        <v>957</v>
      </c>
      <c r="N130" s="3">
        <v>2688</v>
      </c>
      <c r="O130" s="3">
        <v>1651</v>
      </c>
      <c r="P130" s="3">
        <v>2562</v>
      </c>
      <c r="Q130" s="3">
        <v>1320</v>
      </c>
      <c r="R130" s="3">
        <v>4112</v>
      </c>
      <c r="S130" s="3">
        <v>4862</v>
      </c>
      <c r="T130" s="3">
        <v>3798</v>
      </c>
      <c r="U130" s="3">
        <v>3971</v>
      </c>
      <c r="V130" s="3">
        <v>6260</v>
      </c>
      <c r="W130" s="3">
        <v>3990</v>
      </c>
      <c r="X130" s="3">
        <v>3630</v>
      </c>
      <c r="Y130" s="3">
        <v>6348</v>
      </c>
      <c r="Z130" s="3">
        <v>9336</v>
      </c>
      <c r="AA130" s="7">
        <v>62914.222222222219</v>
      </c>
      <c r="AB130" s="1">
        <v>1509941.3333333333</v>
      </c>
      <c r="AC130" s="1">
        <v>2.0811882319337318</v>
      </c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 ht="21" customHeight="1" x14ac:dyDescent="0.3">
      <c r="A131" s="2"/>
      <c r="B131" s="2"/>
      <c r="C131" s="3">
        <v>1</v>
      </c>
      <c r="D131" s="3">
        <v>4</v>
      </c>
      <c r="E131" s="3">
        <v>9</v>
      </c>
      <c r="F131" s="3">
        <v>16</v>
      </c>
      <c r="G131" s="3">
        <v>25</v>
      </c>
      <c r="H131" s="3">
        <v>36</v>
      </c>
      <c r="I131" s="3">
        <v>49</v>
      </c>
      <c r="J131" s="3">
        <v>64</v>
      </c>
      <c r="K131" s="3">
        <v>81</v>
      </c>
      <c r="L131" s="3">
        <v>100</v>
      </c>
      <c r="M131" s="3">
        <v>121</v>
      </c>
      <c r="N131" s="3">
        <v>144</v>
      </c>
      <c r="O131" s="3">
        <v>169</v>
      </c>
      <c r="P131" s="3">
        <v>196</v>
      </c>
      <c r="Q131" s="3">
        <v>225</v>
      </c>
      <c r="R131" s="3">
        <v>256</v>
      </c>
      <c r="S131" s="3">
        <v>289</v>
      </c>
      <c r="T131" s="3">
        <v>324</v>
      </c>
      <c r="U131" s="3">
        <v>361</v>
      </c>
      <c r="V131" s="3">
        <v>400</v>
      </c>
      <c r="W131" s="3">
        <v>441</v>
      </c>
      <c r="X131" s="3">
        <v>484</v>
      </c>
      <c r="Y131" s="3">
        <v>529</v>
      </c>
      <c r="Z131" s="3">
        <v>576</v>
      </c>
      <c r="AA131" s="7">
        <v>4900</v>
      </c>
      <c r="AB131" s="1">
        <v>117600</v>
      </c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 ht="21" customHeight="1" x14ac:dyDescent="0.3">
      <c r="A132" s="2"/>
      <c r="B132" s="2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7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 ht="21" customHeight="1" x14ac:dyDescent="0.3">
      <c r="A133" s="2"/>
      <c r="B133" s="2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7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 ht="21" customHeight="1" x14ac:dyDescent="0.3">
      <c r="A134" s="2"/>
      <c r="B134" s="2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7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 ht="21" customHeight="1" x14ac:dyDescent="0.3">
      <c r="A135" s="2"/>
      <c r="B135" s="2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7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 ht="21" customHeight="1" x14ac:dyDescent="0.3">
      <c r="A136" s="2" t="s">
        <v>22</v>
      </c>
      <c r="B136" s="2" t="s">
        <v>75</v>
      </c>
      <c r="C136" s="3">
        <v>135.44444444444446</v>
      </c>
      <c r="D136" s="3">
        <v>153.33333333333334</v>
      </c>
      <c r="E136" s="3">
        <v>93</v>
      </c>
      <c r="F136" s="3">
        <v>160</v>
      </c>
      <c r="G136" s="3">
        <v>207</v>
      </c>
      <c r="H136" s="3">
        <v>105</v>
      </c>
      <c r="I136" s="3">
        <v>208</v>
      </c>
      <c r="J136" s="3">
        <v>204</v>
      </c>
      <c r="K136" s="3">
        <v>171</v>
      </c>
      <c r="L136" s="3">
        <v>260</v>
      </c>
      <c r="M136" s="3">
        <v>129</v>
      </c>
      <c r="N136" s="3">
        <v>148</v>
      </c>
      <c r="O136" s="3">
        <v>213</v>
      </c>
      <c r="P136" s="3">
        <v>165</v>
      </c>
      <c r="Q136" s="3">
        <v>167</v>
      </c>
      <c r="R136" s="3">
        <v>272</v>
      </c>
      <c r="S136" s="3">
        <v>245</v>
      </c>
      <c r="T136" s="3">
        <v>282</v>
      </c>
      <c r="U136" s="3">
        <v>220</v>
      </c>
      <c r="V136" s="3">
        <v>194</v>
      </c>
      <c r="W136" s="3">
        <v>476</v>
      </c>
      <c r="X136" s="3">
        <v>241</v>
      </c>
      <c r="Y136" s="3">
        <v>172</v>
      </c>
      <c r="Z136" s="3">
        <v>469</v>
      </c>
      <c r="AA136" s="7">
        <v>5089.7777777777774</v>
      </c>
      <c r="AB136" s="1">
        <v>1526933.3333333333</v>
      </c>
      <c r="AC136" s="1">
        <v>187.46510520803579</v>
      </c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 ht="21" customHeight="1" x14ac:dyDescent="0.3">
      <c r="A137" s="2"/>
      <c r="B137" s="2"/>
      <c r="C137" s="3">
        <v>135.44444444444446</v>
      </c>
      <c r="D137" s="3">
        <v>306.66666666666669</v>
      </c>
      <c r="E137" s="3">
        <v>279</v>
      </c>
      <c r="F137" s="3">
        <v>640</v>
      </c>
      <c r="G137" s="3">
        <v>1035</v>
      </c>
      <c r="H137" s="3">
        <v>630</v>
      </c>
      <c r="I137" s="3">
        <v>1456</v>
      </c>
      <c r="J137" s="3">
        <v>1632</v>
      </c>
      <c r="K137" s="3">
        <v>1539</v>
      </c>
      <c r="L137" s="3">
        <v>2600</v>
      </c>
      <c r="M137" s="3">
        <v>1419</v>
      </c>
      <c r="N137" s="3">
        <v>1776</v>
      </c>
      <c r="O137" s="3">
        <v>2769</v>
      </c>
      <c r="P137" s="3">
        <v>2310</v>
      </c>
      <c r="Q137" s="3">
        <v>2505</v>
      </c>
      <c r="R137" s="3">
        <v>4352</v>
      </c>
      <c r="S137" s="3">
        <v>4165</v>
      </c>
      <c r="T137" s="3">
        <v>5076</v>
      </c>
      <c r="U137" s="3">
        <v>4180</v>
      </c>
      <c r="V137" s="3">
        <v>3880</v>
      </c>
      <c r="W137" s="3">
        <v>9996</v>
      </c>
      <c r="X137" s="3">
        <v>5302</v>
      </c>
      <c r="Y137" s="3">
        <v>3956</v>
      </c>
      <c r="Z137" s="3">
        <v>11256</v>
      </c>
      <c r="AA137" s="7">
        <v>73195.111111111109</v>
      </c>
      <c r="AB137" s="1">
        <v>1756682.6666666665</v>
      </c>
      <c r="AC137" s="1">
        <v>1.9687175092830613</v>
      </c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 ht="21" customHeight="1" x14ac:dyDescent="0.3">
      <c r="A138" s="2"/>
      <c r="B138" s="2"/>
      <c r="C138" s="3">
        <v>1</v>
      </c>
      <c r="D138" s="3">
        <v>4</v>
      </c>
      <c r="E138" s="3">
        <v>9</v>
      </c>
      <c r="F138" s="3">
        <v>16</v>
      </c>
      <c r="G138" s="3">
        <v>25</v>
      </c>
      <c r="H138" s="3">
        <v>36</v>
      </c>
      <c r="I138" s="3">
        <v>49</v>
      </c>
      <c r="J138" s="3">
        <v>64</v>
      </c>
      <c r="K138" s="3">
        <v>81</v>
      </c>
      <c r="L138" s="3">
        <v>100</v>
      </c>
      <c r="M138" s="3">
        <v>121</v>
      </c>
      <c r="N138" s="3">
        <v>144</v>
      </c>
      <c r="O138" s="3">
        <v>169</v>
      </c>
      <c r="P138" s="3">
        <v>196</v>
      </c>
      <c r="Q138" s="3">
        <v>225</v>
      </c>
      <c r="R138" s="3">
        <v>256</v>
      </c>
      <c r="S138" s="3">
        <v>289</v>
      </c>
      <c r="T138" s="3">
        <v>324</v>
      </c>
      <c r="U138" s="3">
        <v>361</v>
      </c>
      <c r="V138" s="3">
        <v>400</v>
      </c>
      <c r="W138" s="3">
        <v>441</v>
      </c>
      <c r="X138" s="3">
        <v>484</v>
      </c>
      <c r="Y138" s="3">
        <v>529</v>
      </c>
      <c r="Z138" s="3">
        <v>576</v>
      </c>
      <c r="AA138" s="7">
        <v>4900</v>
      </c>
      <c r="AB138" s="1">
        <v>117600</v>
      </c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 ht="21" customHeight="1" x14ac:dyDescent="0.3">
      <c r="A139" s="2"/>
      <c r="B139" s="2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7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 ht="21" customHeight="1" x14ac:dyDescent="0.3">
      <c r="A140" s="2"/>
      <c r="B140" s="2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7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 ht="21" customHeight="1" x14ac:dyDescent="0.3">
      <c r="A141" s="2"/>
      <c r="B141" s="2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7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 ht="21" customHeight="1" x14ac:dyDescent="0.3">
      <c r="A142" s="2"/>
      <c r="B142" s="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7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 ht="21" customHeight="1" x14ac:dyDescent="0.3">
      <c r="A143" s="2" t="s">
        <v>23</v>
      </c>
      <c r="B143" s="2" t="s">
        <v>76</v>
      </c>
      <c r="C143" s="3">
        <v>123.44444444444446</v>
      </c>
      <c r="D143" s="3">
        <v>154.33333333333334</v>
      </c>
      <c r="E143" s="3">
        <v>110</v>
      </c>
      <c r="F143" s="3">
        <v>106</v>
      </c>
      <c r="G143" s="3">
        <v>247</v>
      </c>
      <c r="H143" s="3">
        <v>71</v>
      </c>
      <c r="I143" s="3">
        <v>136</v>
      </c>
      <c r="J143" s="3">
        <v>143</v>
      </c>
      <c r="K143" s="3">
        <v>168</v>
      </c>
      <c r="L143" s="3">
        <v>268</v>
      </c>
      <c r="M143" s="3">
        <v>198</v>
      </c>
      <c r="N143" s="3">
        <v>252</v>
      </c>
      <c r="O143" s="3">
        <v>181</v>
      </c>
      <c r="P143" s="3">
        <v>257</v>
      </c>
      <c r="Q143" s="3">
        <v>206</v>
      </c>
      <c r="R143" s="3">
        <v>225</v>
      </c>
      <c r="S143" s="3">
        <v>202</v>
      </c>
      <c r="T143" s="3">
        <v>155</v>
      </c>
      <c r="U143" s="3">
        <v>231</v>
      </c>
      <c r="V143" s="3">
        <v>248</v>
      </c>
      <c r="W143" s="3">
        <v>171</v>
      </c>
      <c r="X143" s="3">
        <v>105</v>
      </c>
      <c r="Y143" s="3">
        <v>524</v>
      </c>
      <c r="Z143" s="3">
        <v>286</v>
      </c>
      <c r="AA143" s="7">
        <v>4767.7777777777774</v>
      </c>
      <c r="AB143" s="1">
        <v>1430333.3333333333</v>
      </c>
      <c r="AC143" s="1">
        <v>178.68082928687042</v>
      </c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 ht="21" customHeight="1" x14ac:dyDescent="0.3">
      <c r="A144" s="2"/>
      <c r="B144" s="2"/>
      <c r="C144" s="3">
        <v>123.44444444444446</v>
      </c>
      <c r="D144" s="3">
        <v>308.66666666666669</v>
      </c>
      <c r="E144" s="3">
        <v>330</v>
      </c>
      <c r="F144" s="3">
        <v>424</v>
      </c>
      <c r="G144" s="3">
        <v>1235</v>
      </c>
      <c r="H144" s="3">
        <v>426</v>
      </c>
      <c r="I144" s="3">
        <v>952</v>
      </c>
      <c r="J144" s="3">
        <v>1144</v>
      </c>
      <c r="K144" s="3">
        <v>1512</v>
      </c>
      <c r="L144" s="3">
        <v>2680</v>
      </c>
      <c r="M144" s="3">
        <v>2178</v>
      </c>
      <c r="N144" s="3">
        <v>3024</v>
      </c>
      <c r="O144" s="3">
        <v>2353</v>
      </c>
      <c r="P144" s="3">
        <v>3598</v>
      </c>
      <c r="Q144" s="3">
        <v>3090</v>
      </c>
      <c r="R144" s="3">
        <v>3600</v>
      </c>
      <c r="S144" s="3">
        <v>3434</v>
      </c>
      <c r="T144" s="3">
        <v>2790</v>
      </c>
      <c r="U144" s="3">
        <v>4389</v>
      </c>
      <c r="V144" s="3">
        <v>4960</v>
      </c>
      <c r="W144" s="3">
        <v>3591</v>
      </c>
      <c r="X144" s="3">
        <v>2310</v>
      </c>
      <c r="Y144" s="3">
        <v>12052</v>
      </c>
      <c r="Z144" s="3">
        <v>6864</v>
      </c>
      <c r="AA144" s="7">
        <v>67368.111111111109</v>
      </c>
      <c r="AB144" s="1">
        <v>1616834.6666666665</v>
      </c>
      <c r="AC144" s="1">
        <v>1.5981262496429585</v>
      </c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 ht="21" customHeight="1" x14ac:dyDescent="0.3">
      <c r="A145" s="2"/>
      <c r="B145" s="2"/>
      <c r="C145" s="3">
        <v>1</v>
      </c>
      <c r="D145" s="3">
        <v>4</v>
      </c>
      <c r="E145" s="3">
        <v>9</v>
      </c>
      <c r="F145" s="3">
        <v>16</v>
      </c>
      <c r="G145" s="3">
        <v>25</v>
      </c>
      <c r="H145" s="3">
        <v>36</v>
      </c>
      <c r="I145" s="3">
        <v>49</v>
      </c>
      <c r="J145" s="3">
        <v>64</v>
      </c>
      <c r="K145" s="3">
        <v>81</v>
      </c>
      <c r="L145" s="3">
        <v>100</v>
      </c>
      <c r="M145" s="3">
        <v>121</v>
      </c>
      <c r="N145" s="3">
        <v>144</v>
      </c>
      <c r="O145" s="3">
        <v>169</v>
      </c>
      <c r="P145" s="3">
        <v>196</v>
      </c>
      <c r="Q145" s="3">
        <v>225</v>
      </c>
      <c r="R145" s="3">
        <v>256</v>
      </c>
      <c r="S145" s="3">
        <v>289</v>
      </c>
      <c r="T145" s="3">
        <v>324</v>
      </c>
      <c r="U145" s="3">
        <v>361</v>
      </c>
      <c r="V145" s="3">
        <v>400</v>
      </c>
      <c r="W145" s="3">
        <v>441</v>
      </c>
      <c r="X145" s="3">
        <v>484</v>
      </c>
      <c r="Y145" s="3">
        <v>529</v>
      </c>
      <c r="Z145" s="3">
        <v>576</v>
      </c>
      <c r="AA145" s="7">
        <v>4900</v>
      </c>
      <c r="AB145" s="1">
        <v>117600</v>
      </c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 ht="21" customHeight="1" x14ac:dyDescent="0.3">
      <c r="A146" s="2"/>
      <c r="B146" s="2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7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 ht="21" customHeight="1" x14ac:dyDescent="0.3">
      <c r="A147" s="2"/>
      <c r="B147" s="2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7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 ht="21" customHeight="1" x14ac:dyDescent="0.3">
      <c r="A148" s="2"/>
      <c r="B148" s="2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7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 ht="21" customHeight="1" x14ac:dyDescent="0.3">
      <c r="A149" s="2"/>
      <c r="B149" s="2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7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 ht="21" customHeight="1" x14ac:dyDescent="0.3">
      <c r="A150" s="2" t="s">
        <v>24</v>
      </c>
      <c r="B150" s="2" t="s">
        <v>77</v>
      </c>
      <c r="C150" s="3">
        <v>42.666666666666664</v>
      </c>
      <c r="D150" s="3">
        <v>52</v>
      </c>
      <c r="E150" s="3">
        <v>36</v>
      </c>
      <c r="F150" s="3">
        <v>40</v>
      </c>
      <c r="G150" s="3">
        <v>80</v>
      </c>
      <c r="H150" s="3">
        <v>15</v>
      </c>
      <c r="I150" s="3">
        <v>68</v>
      </c>
      <c r="J150" s="3">
        <v>57</v>
      </c>
      <c r="K150" s="3">
        <v>80</v>
      </c>
      <c r="L150" s="3">
        <v>93</v>
      </c>
      <c r="M150" s="3">
        <v>93</v>
      </c>
      <c r="N150" s="3">
        <v>117</v>
      </c>
      <c r="O150" s="3">
        <v>74</v>
      </c>
      <c r="P150" s="3">
        <v>115</v>
      </c>
      <c r="Q150" s="3">
        <v>65</v>
      </c>
      <c r="R150" s="3">
        <v>135</v>
      </c>
      <c r="S150" s="3">
        <v>87</v>
      </c>
      <c r="T150" s="3">
        <v>101</v>
      </c>
      <c r="U150" s="3">
        <v>125</v>
      </c>
      <c r="V150" s="3">
        <v>72</v>
      </c>
      <c r="W150" s="3">
        <v>116</v>
      </c>
      <c r="X150" s="3">
        <v>37</v>
      </c>
      <c r="Y150" s="3">
        <v>141</v>
      </c>
      <c r="Z150" s="3">
        <v>76</v>
      </c>
      <c r="AA150" s="7">
        <v>1917.6666666666665</v>
      </c>
      <c r="AB150" s="1">
        <v>575300</v>
      </c>
      <c r="AC150" s="1">
        <v>71.988039131676658</v>
      </c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 ht="21" customHeight="1" x14ac:dyDescent="0.3">
      <c r="A151" s="2"/>
      <c r="B151" s="2"/>
      <c r="C151" s="3">
        <v>42.666666666666664</v>
      </c>
      <c r="D151" s="3">
        <v>104</v>
      </c>
      <c r="E151" s="3">
        <v>108</v>
      </c>
      <c r="F151" s="3">
        <v>160</v>
      </c>
      <c r="G151" s="3">
        <v>400</v>
      </c>
      <c r="H151" s="3">
        <v>90</v>
      </c>
      <c r="I151" s="3">
        <v>476</v>
      </c>
      <c r="J151" s="3">
        <v>456</v>
      </c>
      <c r="K151" s="3">
        <v>720</v>
      </c>
      <c r="L151" s="3">
        <v>930</v>
      </c>
      <c r="M151" s="3">
        <v>1023</v>
      </c>
      <c r="N151" s="3">
        <v>1404</v>
      </c>
      <c r="O151" s="3">
        <v>962</v>
      </c>
      <c r="P151" s="3">
        <v>1610</v>
      </c>
      <c r="Q151" s="3">
        <v>975</v>
      </c>
      <c r="R151" s="3">
        <v>2160</v>
      </c>
      <c r="S151" s="3">
        <v>1479</v>
      </c>
      <c r="T151" s="3">
        <v>1818</v>
      </c>
      <c r="U151" s="3">
        <v>2375</v>
      </c>
      <c r="V151" s="3">
        <v>1440</v>
      </c>
      <c r="W151" s="3">
        <v>2436</v>
      </c>
      <c r="X151" s="3">
        <v>814</v>
      </c>
      <c r="Y151" s="3">
        <v>3243</v>
      </c>
      <c r="Z151" s="3">
        <v>1824</v>
      </c>
      <c r="AA151" s="7">
        <v>27049.666666666664</v>
      </c>
      <c r="AB151" s="1">
        <v>649192</v>
      </c>
      <c r="AC151" s="1">
        <v>0.63317909168808917</v>
      </c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 ht="21" customHeight="1" x14ac:dyDescent="0.3">
      <c r="A152" s="2"/>
      <c r="B152" s="2"/>
      <c r="C152" s="3">
        <v>1</v>
      </c>
      <c r="D152" s="3">
        <v>4</v>
      </c>
      <c r="E152" s="3">
        <v>9</v>
      </c>
      <c r="F152" s="3">
        <v>16</v>
      </c>
      <c r="G152" s="3">
        <v>25</v>
      </c>
      <c r="H152" s="3">
        <v>36</v>
      </c>
      <c r="I152" s="3">
        <v>49</v>
      </c>
      <c r="J152" s="3">
        <v>64</v>
      </c>
      <c r="K152" s="3">
        <v>81</v>
      </c>
      <c r="L152" s="3">
        <v>100</v>
      </c>
      <c r="M152" s="3">
        <v>121</v>
      </c>
      <c r="N152" s="3">
        <v>144</v>
      </c>
      <c r="O152" s="3">
        <v>169</v>
      </c>
      <c r="P152" s="3">
        <v>196</v>
      </c>
      <c r="Q152" s="3">
        <v>225</v>
      </c>
      <c r="R152" s="3">
        <v>256</v>
      </c>
      <c r="S152" s="3">
        <v>289</v>
      </c>
      <c r="T152" s="3">
        <v>324</v>
      </c>
      <c r="U152" s="3">
        <v>361</v>
      </c>
      <c r="V152" s="3">
        <v>400</v>
      </c>
      <c r="W152" s="3">
        <v>441</v>
      </c>
      <c r="X152" s="3">
        <v>484</v>
      </c>
      <c r="Y152" s="3">
        <v>529</v>
      </c>
      <c r="Z152" s="3">
        <v>576</v>
      </c>
      <c r="AA152" s="7">
        <v>4900</v>
      </c>
      <c r="AB152" s="1">
        <v>117600</v>
      </c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 ht="21" customHeight="1" x14ac:dyDescent="0.3">
      <c r="A153" s="2"/>
      <c r="B153" s="2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7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 ht="21" customHeight="1" x14ac:dyDescent="0.3">
      <c r="A154" s="2"/>
      <c r="B154" s="2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7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 ht="21" customHeight="1" x14ac:dyDescent="0.3">
      <c r="A155" s="2"/>
      <c r="B155" s="2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7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 ht="21" customHeight="1" x14ac:dyDescent="0.3">
      <c r="A156" s="2"/>
      <c r="B156" s="2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7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 ht="21" customHeight="1" x14ac:dyDescent="0.3">
      <c r="A157" s="2" t="s">
        <v>25</v>
      </c>
      <c r="B157" s="2" t="s">
        <v>78</v>
      </c>
      <c r="C157" s="3">
        <v>63.111111111111107</v>
      </c>
      <c r="D157" s="3">
        <v>70.333333333333329</v>
      </c>
      <c r="E157" s="3">
        <v>37</v>
      </c>
      <c r="F157" s="3">
        <v>82</v>
      </c>
      <c r="G157" s="3">
        <v>92</v>
      </c>
      <c r="H157" s="3">
        <v>41</v>
      </c>
      <c r="I157" s="3">
        <v>114</v>
      </c>
      <c r="J157" s="3">
        <v>89</v>
      </c>
      <c r="K157" s="3">
        <v>112</v>
      </c>
      <c r="L157" s="3">
        <v>175</v>
      </c>
      <c r="M157" s="3">
        <v>353</v>
      </c>
      <c r="N157" s="3">
        <v>227</v>
      </c>
      <c r="O157" s="3">
        <v>200</v>
      </c>
      <c r="P157" s="3">
        <v>268</v>
      </c>
      <c r="Q157" s="3">
        <v>174</v>
      </c>
      <c r="R157" s="3">
        <v>215</v>
      </c>
      <c r="S157" s="3">
        <v>193</v>
      </c>
      <c r="T157" s="3">
        <v>129</v>
      </c>
      <c r="U157" s="3">
        <v>179</v>
      </c>
      <c r="V157" s="3">
        <v>183</v>
      </c>
      <c r="W157" s="3">
        <v>270</v>
      </c>
      <c r="X157" s="3">
        <v>299</v>
      </c>
      <c r="Y157" s="3">
        <v>242</v>
      </c>
      <c r="Z157" s="3">
        <v>374</v>
      </c>
      <c r="AA157" s="7">
        <v>4181.4444444444443</v>
      </c>
      <c r="AB157" s="1">
        <v>1254433.3333333333</v>
      </c>
      <c r="AC157" s="1">
        <v>143.86252737313146</v>
      </c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 ht="21" customHeight="1" x14ac:dyDescent="0.3">
      <c r="A158" s="2"/>
      <c r="B158" s="2"/>
      <c r="C158" s="3">
        <v>63.111111111111107</v>
      </c>
      <c r="D158" s="3">
        <v>140.66666666666666</v>
      </c>
      <c r="E158" s="3">
        <v>111</v>
      </c>
      <c r="F158" s="3">
        <v>328</v>
      </c>
      <c r="G158" s="3">
        <v>460</v>
      </c>
      <c r="H158" s="3">
        <v>246</v>
      </c>
      <c r="I158" s="3">
        <v>798</v>
      </c>
      <c r="J158" s="3">
        <v>712</v>
      </c>
      <c r="K158" s="3">
        <v>1008</v>
      </c>
      <c r="L158" s="3">
        <v>1750</v>
      </c>
      <c r="M158" s="3">
        <v>3883</v>
      </c>
      <c r="N158" s="3">
        <v>2724</v>
      </c>
      <c r="O158" s="3">
        <v>2600</v>
      </c>
      <c r="P158" s="3">
        <v>3752</v>
      </c>
      <c r="Q158" s="3">
        <v>2610</v>
      </c>
      <c r="R158" s="3">
        <v>3440</v>
      </c>
      <c r="S158" s="3">
        <v>3281</v>
      </c>
      <c r="T158" s="3">
        <v>2322</v>
      </c>
      <c r="U158" s="3">
        <v>3401</v>
      </c>
      <c r="V158" s="3">
        <v>3660</v>
      </c>
      <c r="W158" s="3">
        <v>5670</v>
      </c>
      <c r="X158" s="3">
        <v>6578</v>
      </c>
      <c r="Y158" s="3">
        <v>5566</v>
      </c>
      <c r="Z158" s="3">
        <v>8976</v>
      </c>
      <c r="AA158" s="7">
        <v>64079.777777777781</v>
      </c>
      <c r="AB158" s="1">
        <v>1537914.6666666667</v>
      </c>
      <c r="AC158" s="1">
        <v>2.4291459582976307</v>
      </c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 ht="21" customHeight="1" x14ac:dyDescent="0.3">
      <c r="A159" s="2"/>
      <c r="B159" s="2"/>
      <c r="C159" s="3">
        <v>1</v>
      </c>
      <c r="D159" s="3">
        <v>4</v>
      </c>
      <c r="E159" s="3">
        <v>9</v>
      </c>
      <c r="F159" s="3">
        <v>16</v>
      </c>
      <c r="G159" s="3">
        <v>25</v>
      </c>
      <c r="H159" s="3">
        <v>36</v>
      </c>
      <c r="I159" s="3">
        <v>49</v>
      </c>
      <c r="J159" s="3">
        <v>64</v>
      </c>
      <c r="K159" s="3">
        <v>81</v>
      </c>
      <c r="L159" s="3">
        <v>100</v>
      </c>
      <c r="M159" s="3">
        <v>121</v>
      </c>
      <c r="N159" s="3">
        <v>144</v>
      </c>
      <c r="O159" s="3">
        <v>169</v>
      </c>
      <c r="P159" s="3">
        <v>196</v>
      </c>
      <c r="Q159" s="3">
        <v>225</v>
      </c>
      <c r="R159" s="3">
        <v>256</v>
      </c>
      <c r="S159" s="3">
        <v>289</v>
      </c>
      <c r="T159" s="3">
        <v>324</v>
      </c>
      <c r="U159" s="3">
        <v>361</v>
      </c>
      <c r="V159" s="3">
        <v>400</v>
      </c>
      <c r="W159" s="3">
        <v>441</v>
      </c>
      <c r="X159" s="3">
        <v>484</v>
      </c>
      <c r="Y159" s="3">
        <v>529</v>
      </c>
      <c r="Z159" s="3">
        <v>576</v>
      </c>
      <c r="AA159" s="7">
        <v>4900</v>
      </c>
      <c r="AB159" s="1">
        <v>117600</v>
      </c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 ht="21" customHeight="1" x14ac:dyDescent="0.3">
      <c r="A160" s="2"/>
      <c r="B160" s="2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7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 ht="21" customHeight="1" x14ac:dyDescent="0.3">
      <c r="A161" s="2"/>
      <c r="B161" s="2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7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 ht="21" customHeight="1" x14ac:dyDescent="0.3">
      <c r="A162" s="2"/>
      <c r="B162" s="2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7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 ht="21" customHeight="1" x14ac:dyDescent="0.3">
      <c r="A163" s="2"/>
      <c r="B163" s="2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7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 ht="21" customHeight="1" x14ac:dyDescent="0.3">
      <c r="A164" s="2" t="s">
        <v>26</v>
      </c>
      <c r="B164" s="2" t="s">
        <v>79</v>
      </c>
      <c r="C164" s="3">
        <v>195.55555555555554</v>
      </c>
      <c r="D164" s="3">
        <v>196.66666666666666</v>
      </c>
      <c r="E164" s="3">
        <v>108</v>
      </c>
      <c r="F164" s="3">
        <v>282</v>
      </c>
      <c r="G164" s="3">
        <v>200</v>
      </c>
      <c r="H164" s="3">
        <v>69</v>
      </c>
      <c r="I164" s="3">
        <v>256</v>
      </c>
      <c r="J164" s="3">
        <v>202</v>
      </c>
      <c r="K164" s="3">
        <v>166</v>
      </c>
      <c r="L164" s="3">
        <v>267</v>
      </c>
      <c r="M164" s="3">
        <v>160</v>
      </c>
      <c r="N164" s="3">
        <v>391</v>
      </c>
      <c r="O164" s="3">
        <v>205</v>
      </c>
      <c r="P164" s="3">
        <v>205</v>
      </c>
      <c r="Q164" s="3">
        <v>215</v>
      </c>
      <c r="R164" s="3">
        <v>305</v>
      </c>
      <c r="S164" s="3">
        <v>285</v>
      </c>
      <c r="T164" s="3">
        <v>327</v>
      </c>
      <c r="U164" s="3">
        <v>294</v>
      </c>
      <c r="V164" s="3">
        <v>246</v>
      </c>
      <c r="W164" s="3">
        <v>630</v>
      </c>
      <c r="X164" s="3">
        <v>260</v>
      </c>
      <c r="Y164" s="3">
        <v>365</v>
      </c>
      <c r="Z164" s="3">
        <v>405</v>
      </c>
      <c r="AA164" s="7">
        <v>6235.2222222222226</v>
      </c>
      <c r="AB164" s="1">
        <v>1870566.6666666667</v>
      </c>
      <c r="AC164" s="1">
        <v>230.28778682281254</v>
      </c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 ht="21" customHeight="1" x14ac:dyDescent="0.3">
      <c r="A165" s="2"/>
      <c r="B165" s="2"/>
      <c r="C165" s="3">
        <v>195.55555555555554</v>
      </c>
      <c r="D165" s="3">
        <v>393.33333333333331</v>
      </c>
      <c r="E165" s="3">
        <v>324</v>
      </c>
      <c r="F165" s="3">
        <v>1128</v>
      </c>
      <c r="G165" s="3">
        <v>1000</v>
      </c>
      <c r="H165" s="3">
        <v>414</v>
      </c>
      <c r="I165" s="3">
        <v>1792</v>
      </c>
      <c r="J165" s="3">
        <v>1616</v>
      </c>
      <c r="K165" s="3">
        <v>1494</v>
      </c>
      <c r="L165" s="3">
        <v>2670</v>
      </c>
      <c r="M165" s="3">
        <v>1760</v>
      </c>
      <c r="N165" s="3">
        <v>4692</v>
      </c>
      <c r="O165" s="3">
        <v>2665</v>
      </c>
      <c r="P165" s="3">
        <v>2870</v>
      </c>
      <c r="Q165" s="3">
        <v>3225</v>
      </c>
      <c r="R165" s="3">
        <v>4880</v>
      </c>
      <c r="S165" s="3">
        <v>4845</v>
      </c>
      <c r="T165" s="3">
        <v>5886</v>
      </c>
      <c r="U165" s="3">
        <v>5586</v>
      </c>
      <c r="V165" s="3">
        <v>4920</v>
      </c>
      <c r="W165" s="3">
        <v>13230</v>
      </c>
      <c r="X165" s="3">
        <v>5720</v>
      </c>
      <c r="Y165" s="3">
        <v>8395</v>
      </c>
      <c r="Z165" s="3">
        <v>9720</v>
      </c>
      <c r="AA165" s="7">
        <v>89420.888888888891</v>
      </c>
      <c r="AB165" s="1">
        <v>2146101.3333333335</v>
      </c>
      <c r="AC165" s="1">
        <v>2.3610511282490725</v>
      </c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 ht="21" customHeight="1" x14ac:dyDescent="0.3">
      <c r="A166" s="2"/>
      <c r="B166" s="2"/>
      <c r="C166" s="3">
        <v>1</v>
      </c>
      <c r="D166" s="3">
        <v>4</v>
      </c>
      <c r="E166" s="3">
        <v>9</v>
      </c>
      <c r="F166" s="3">
        <v>16</v>
      </c>
      <c r="G166" s="3">
        <v>25</v>
      </c>
      <c r="H166" s="3">
        <v>36</v>
      </c>
      <c r="I166" s="3">
        <v>49</v>
      </c>
      <c r="J166" s="3">
        <v>64</v>
      </c>
      <c r="K166" s="3">
        <v>81</v>
      </c>
      <c r="L166" s="3">
        <v>100</v>
      </c>
      <c r="M166" s="3">
        <v>121</v>
      </c>
      <c r="N166" s="3">
        <v>144</v>
      </c>
      <c r="O166" s="3">
        <v>169</v>
      </c>
      <c r="P166" s="3">
        <v>196</v>
      </c>
      <c r="Q166" s="3">
        <v>225</v>
      </c>
      <c r="R166" s="3">
        <v>256</v>
      </c>
      <c r="S166" s="3">
        <v>289</v>
      </c>
      <c r="T166" s="3">
        <v>324</v>
      </c>
      <c r="U166" s="3">
        <v>361</v>
      </c>
      <c r="V166" s="3">
        <v>400</v>
      </c>
      <c r="W166" s="3">
        <v>441</v>
      </c>
      <c r="X166" s="3">
        <v>484</v>
      </c>
      <c r="Y166" s="3">
        <v>529</v>
      </c>
      <c r="Z166" s="3">
        <v>576</v>
      </c>
      <c r="AA166" s="7">
        <v>4900</v>
      </c>
      <c r="AB166" s="1">
        <v>117600</v>
      </c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 ht="21" customHeight="1" x14ac:dyDescent="0.3">
      <c r="A167" s="2"/>
      <c r="B167" s="2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7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 ht="21" customHeight="1" x14ac:dyDescent="0.3">
      <c r="A168" s="2"/>
      <c r="B168" s="2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7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 ht="21" customHeight="1" x14ac:dyDescent="0.3">
      <c r="A169" s="2"/>
      <c r="B169" s="2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7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 ht="21" customHeight="1" x14ac:dyDescent="0.3">
      <c r="A170" s="2"/>
      <c r="B170" s="2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7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 ht="21" customHeight="1" x14ac:dyDescent="0.3">
      <c r="A171" s="2" t="s">
        <v>27</v>
      </c>
      <c r="B171" s="2" t="s">
        <v>80</v>
      </c>
      <c r="C171" s="3">
        <v>3664</v>
      </c>
      <c r="D171" s="3">
        <v>3969</v>
      </c>
      <c r="E171" s="3">
        <v>2337</v>
      </c>
      <c r="F171" s="3">
        <v>4686</v>
      </c>
      <c r="G171" s="3">
        <v>4884</v>
      </c>
      <c r="H171" s="3">
        <v>1697</v>
      </c>
      <c r="I171" s="3">
        <v>6967</v>
      </c>
      <c r="J171" s="3">
        <v>6424</v>
      </c>
      <c r="K171" s="3">
        <v>5271</v>
      </c>
      <c r="L171" s="3">
        <v>8397</v>
      </c>
      <c r="M171" s="3">
        <v>5895</v>
      </c>
      <c r="N171" s="3">
        <v>7424</v>
      </c>
      <c r="O171" s="3">
        <v>3260</v>
      </c>
      <c r="P171" s="3">
        <v>6518</v>
      </c>
      <c r="Q171" s="3">
        <v>7561</v>
      </c>
      <c r="R171" s="3">
        <v>5602</v>
      </c>
      <c r="S171" s="3">
        <v>5944</v>
      </c>
      <c r="T171" s="3">
        <v>8105</v>
      </c>
      <c r="U171" s="3">
        <v>6322</v>
      </c>
      <c r="V171" s="3">
        <v>7772</v>
      </c>
      <c r="W171" s="3">
        <v>2374</v>
      </c>
      <c r="X171" s="3">
        <v>9562</v>
      </c>
      <c r="Y171" s="3">
        <v>7915</v>
      </c>
      <c r="Z171" s="3">
        <v>5076</v>
      </c>
      <c r="AA171" s="7">
        <v>137626</v>
      </c>
      <c r="AB171" s="1">
        <v>41287800</v>
      </c>
      <c r="AC171" s="1">
        <v>5322.0799057412169</v>
      </c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 ht="21" customHeight="1" x14ac:dyDescent="0.3">
      <c r="A172" s="2"/>
      <c r="B172" s="2"/>
      <c r="C172" s="3">
        <v>3664</v>
      </c>
      <c r="D172" s="3">
        <v>7938</v>
      </c>
      <c r="E172" s="3">
        <v>7011</v>
      </c>
      <c r="F172" s="3">
        <v>18744</v>
      </c>
      <c r="G172" s="3">
        <v>24420</v>
      </c>
      <c r="H172" s="3">
        <v>10182</v>
      </c>
      <c r="I172" s="3">
        <v>48769</v>
      </c>
      <c r="J172" s="3">
        <v>51392</v>
      </c>
      <c r="K172" s="3">
        <v>47439</v>
      </c>
      <c r="L172" s="3">
        <v>83970</v>
      </c>
      <c r="M172" s="3">
        <v>64845</v>
      </c>
      <c r="N172" s="3">
        <v>89088</v>
      </c>
      <c r="O172" s="3">
        <v>42380</v>
      </c>
      <c r="P172" s="3">
        <v>91252</v>
      </c>
      <c r="Q172" s="3">
        <v>113415</v>
      </c>
      <c r="R172" s="3">
        <v>89632</v>
      </c>
      <c r="S172" s="3">
        <v>101048</v>
      </c>
      <c r="T172" s="3">
        <v>145890</v>
      </c>
      <c r="U172" s="3">
        <v>120118</v>
      </c>
      <c r="V172" s="3">
        <v>155440</v>
      </c>
      <c r="W172" s="3">
        <v>49854</v>
      </c>
      <c r="X172" s="3">
        <v>210364</v>
      </c>
      <c r="Y172" s="3">
        <v>182045</v>
      </c>
      <c r="Z172" s="3">
        <v>121824</v>
      </c>
      <c r="AA172" s="7">
        <v>1880724</v>
      </c>
      <c r="AB172" s="1">
        <v>45137376</v>
      </c>
      <c r="AC172" s="1">
        <v>32.986940874035987</v>
      </c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 ht="21" customHeight="1" x14ac:dyDescent="0.3">
      <c r="A173" s="2"/>
      <c r="B173" s="2"/>
      <c r="C173" s="3">
        <v>1</v>
      </c>
      <c r="D173" s="3">
        <v>4</v>
      </c>
      <c r="E173" s="3">
        <v>9</v>
      </c>
      <c r="F173" s="3">
        <v>16</v>
      </c>
      <c r="G173" s="3">
        <v>25</v>
      </c>
      <c r="H173" s="3">
        <v>36</v>
      </c>
      <c r="I173" s="3">
        <v>49</v>
      </c>
      <c r="J173" s="3">
        <v>64</v>
      </c>
      <c r="K173" s="3">
        <v>81</v>
      </c>
      <c r="L173" s="3">
        <v>100</v>
      </c>
      <c r="M173" s="3">
        <v>121</v>
      </c>
      <c r="N173" s="3">
        <v>144</v>
      </c>
      <c r="O173" s="3">
        <v>169</v>
      </c>
      <c r="P173" s="3">
        <v>196</v>
      </c>
      <c r="Q173" s="3">
        <v>225</v>
      </c>
      <c r="R173" s="3">
        <v>256</v>
      </c>
      <c r="S173" s="3">
        <v>289</v>
      </c>
      <c r="T173" s="3">
        <v>324</v>
      </c>
      <c r="U173" s="3">
        <v>361</v>
      </c>
      <c r="V173" s="3">
        <v>400</v>
      </c>
      <c r="W173" s="3">
        <v>441</v>
      </c>
      <c r="X173" s="3">
        <v>484</v>
      </c>
      <c r="Y173" s="3">
        <v>529</v>
      </c>
      <c r="Z173" s="3">
        <v>576</v>
      </c>
      <c r="AA173" s="7">
        <v>4900</v>
      </c>
      <c r="AB173" s="1">
        <v>117600</v>
      </c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 ht="21" customHeight="1" x14ac:dyDescent="0.3">
      <c r="A174" s="2"/>
      <c r="B174" s="2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7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 ht="21" customHeight="1" x14ac:dyDescent="0.3">
      <c r="A175" s="2"/>
      <c r="B175" s="2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7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 ht="21" customHeight="1" x14ac:dyDescent="0.3">
      <c r="A176" s="2"/>
      <c r="B176" s="2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7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 ht="21" customHeight="1" x14ac:dyDescent="0.3">
      <c r="A177" s="2"/>
      <c r="B177" s="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7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 ht="21" customHeight="1" x14ac:dyDescent="0.3">
      <c r="A178" s="2" t="s">
        <v>28</v>
      </c>
      <c r="B178" s="2" t="s">
        <v>81</v>
      </c>
      <c r="C178" s="3">
        <v>1586.1111111111111</v>
      </c>
      <c r="D178" s="3">
        <v>1708.3333333333333</v>
      </c>
      <c r="E178" s="3">
        <v>1176</v>
      </c>
      <c r="F178" s="3">
        <v>1874</v>
      </c>
      <c r="G178" s="3">
        <v>2075</v>
      </c>
      <c r="H178" s="3">
        <v>919</v>
      </c>
      <c r="I178" s="3">
        <v>1649</v>
      </c>
      <c r="J178" s="3">
        <v>2214</v>
      </c>
      <c r="K178" s="3">
        <v>2157</v>
      </c>
      <c r="L178" s="3">
        <v>3195</v>
      </c>
      <c r="M178" s="3">
        <v>2441</v>
      </c>
      <c r="N178" s="3">
        <v>3396</v>
      </c>
      <c r="O178" s="3">
        <v>1645</v>
      </c>
      <c r="P178" s="3">
        <v>2024</v>
      </c>
      <c r="Q178" s="3">
        <v>2215</v>
      </c>
      <c r="R178" s="3">
        <v>2141</v>
      </c>
      <c r="S178" s="3">
        <v>2618</v>
      </c>
      <c r="T178" s="3">
        <v>1993</v>
      </c>
      <c r="U178" s="3">
        <v>1843</v>
      </c>
      <c r="V178" s="3">
        <v>1540</v>
      </c>
      <c r="W178" s="3">
        <v>948</v>
      </c>
      <c r="X178" s="3">
        <v>4316</v>
      </c>
      <c r="Y178" s="3">
        <v>3952</v>
      </c>
      <c r="Z178" s="3">
        <v>2878</v>
      </c>
      <c r="AA178" s="7">
        <v>52503.444444444445</v>
      </c>
      <c r="AB178" s="1">
        <v>15751033.333333334</v>
      </c>
      <c r="AC178" s="1">
        <v>2028.0786799009811</v>
      </c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 ht="21" customHeight="1" x14ac:dyDescent="0.3">
      <c r="A179" s="2"/>
      <c r="B179" s="2"/>
      <c r="C179" s="3">
        <v>1586.1111111111111</v>
      </c>
      <c r="D179" s="3">
        <v>3416.6666666666665</v>
      </c>
      <c r="E179" s="3">
        <v>3528</v>
      </c>
      <c r="F179" s="3">
        <v>7496</v>
      </c>
      <c r="G179" s="3">
        <v>10375</v>
      </c>
      <c r="H179" s="3">
        <v>5514</v>
      </c>
      <c r="I179" s="3">
        <v>11543</v>
      </c>
      <c r="J179" s="3">
        <v>17712</v>
      </c>
      <c r="K179" s="3">
        <v>19413</v>
      </c>
      <c r="L179" s="3">
        <v>31950</v>
      </c>
      <c r="M179" s="3">
        <v>26851</v>
      </c>
      <c r="N179" s="3">
        <v>40752</v>
      </c>
      <c r="O179" s="3">
        <v>21385</v>
      </c>
      <c r="P179" s="3">
        <v>28336</v>
      </c>
      <c r="Q179" s="3">
        <v>33225</v>
      </c>
      <c r="R179" s="3">
        <v>34256</v>
      </c>
      <c r="S179" s="3">
        <v>44506</v>
      </c>
      <c r="T179" s="3">
        <v>35874</v>
      </c>
      <c r="U179" s="3">
        <v>35017</v>
      </c>
      <c r="V179" s="3">
        <v>30800</v>
      </c>
      <c r="W179" s="3">
        <v>19908</v>
      </c>
      <c r="X179" s="3">
        <v>94952</v>
      </c>
      <c r="Y179" s="3">
        <v>90896</v>
      </c>
      <c r="Z179" s="3">
        <v>69072</v>
      </c>
      <c r="AA179" s="7">
        <v>718363.77777777775</v>
      </c>
      <c r="AB179" s="1">
        <v>17240730.666666664</v>
      </c>
      <c r="AC179" s="1">
        <v>12.765187089403002</v>
      </c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 ht="21" customHeight="1" x14ac:dyDescent="0.3">
      <c r="A180" s="2"/>
      <c r="B180" s="2"/>
      <c r="C180" s="3">
        <v>1</v>
      </c>
      <c r="D180" s="3">
        <v>4</v>
      </c>
      <c r="E180" s="3">
        <v>9</v>
      </c>
      <c r="F180" s="3">
        <v>16</v>
      </c>
      <c r="G180" s="3">
        <v>25</v>
      </c>
      <c r="H180" s="3">
        <v>36</v>
      </c>
      <c r="I180" s="3">
        <v>49</v>
      </c>
      <c r="J180" s="3">
        <v>64</v>
      </c>
      <c r="K180" s="3">
        <v>81</v>
      </c>
      <c r="L180" s="3">
        <v>100</v>
      </c>
      <c r="M180" s="3">
        <v>121</v>
      </c>
      <c r="N180" s="3">
        <v>144</v>
      </c>
      <c r="O180" s="3">
        <v>169</v>
      </c>
      <c r="P180" s="3">
        <v>196</v>
      </c>
      <c r="Q180" s="3">
        <v>225</v>
      </c>
      <c r="R180" s="3">
        <v>256</v>
      </c>
      <c r="S180" s="3">
        <v>289</v>
      </c>
      <c r="T180" s="3">
        <v>324</v>
      </c>
      <c r="U180" s="3">
        <v>361</v>
      </c>
      <c r="V180" s="3">
        <v>400</v>
      </c>
      <c r="W180" s="3">
        <v>441</v>
      </c>
      <c r="X180" s="3">
        <v>484</v>
      </c>
      <c r="Y180" s="3">
        <v>529</v>
      </c>
      <c r="Z180" s="3">
        <v>576</v>
      </c>
      <c r="AA180" s="7">
        <v>4900</v>
      </c>
      <c r="AB180" s="1">
        <v>117600</v>
      </c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 ht="21" customHeight="1" x14ac:dyDescent="0.3">
      <c r="A181" s="2"/>
      <c r="B181" s="2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7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 ht="21" customHeight="1" x14ac:dyDescent="0.3">
      <c r="A182" s="2"/>
      <c r="B182" s="2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7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 ht="21" customHeight="1" x14ac:dyDescent="0.3">
      <c r="A183" s="2"/>
      <c r="B183" s="2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7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 ht="21" customHeight="1" x14ac:dyDescent="0.3">
      <c r="A184" s="2"/>
      <c r="B184" s="2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7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 ht="21" customHeight="1" x14ac:dyDescent="0.3">
      <c r="A185" s="2" t="s">
        <v>29</v>
      </c>
      <c r="B185" s="2" t="s">
        <v>82</v>
      </c>
      <c r="C185" s="3">
        <v>157</v>
      </c>
      <c r="D185" s="3">
        <v>163</v>
      </c>
      <c r="E185" s="3">
        <v>90</v>
      </c>
      <c r="F185" s="3">
        <v>218</v>
      </c>
      <c r="G185" s="3">
        <v>181</v>
      </c>
      <c r="H185" s="3">
        <v>67</v>
      </c>
      <c r="I185" s="3">
        <v>212</v>
      </c>
      <c r="J185" s="3">
        <v>892</v>
      </c>
      <c r="K185" s="3">
        <v>340</v>
      </c>
      <c r="L185" s="3">
        <v>591</v>
      </c>
      <c r="M185" s="3">
        <v>284</v>
      </c>
      <c r="N185" s="3">
        <v>305</v>
      </c>
      <c r="O185" s="3">
        <v>433</v>
      </c>
      <c r="P185" s="3">
        <v>584</v>
      </c>
      <c r="Q185" s="3">
        <v>437</v>
      </c>
      <c r="R185" s="3">
        <v>540</v>
      </c>
      <c r="S185" s="3">
        <v>423</v>
      </c>
      <c r="T185" s="3">
        <v>428</v>
      </c>
      <c r="U185" s="3">
        <v>335</v>
      </c>
      <c r="V185" s="3">
        <v>496</v>
      </c>
      <c r="W185" s="3">
        <v>472</v>
      </c>
      <c r="X185" s="3">
        <v>335</v>
      </c>
      <c r="Y185" s="3">
        <v>271</v>
      </c>
      <c r="Z185" s="3">
        <v>880</v>
      </c>
      <c r="AA185" s="7">
        <v>9134</v>
      </c>
      <c r="AB185" s="1">
        <v>2740200</v>
      </c>
      <c r="AC185" s="1">
        <v>334.44965724078833</v>
      </c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 ht="21" customHeight="1" x14ac:dyDescent="0.3">
      <c r="A186" s="2"/>
      <c r="B186" s="2"/>
      <c r="C186" s="3">
        <v>157</v>
      </c>
      <c r="D186" s="3">
        <v>326</v>
      </c>
      <c r="E186" s="3">
        <v>270</v>
      </c>
      <c r="F186" s="3">
        <v>872</v>
      </c>
      <c r="G186" s="3">
        <v>905</v>
      </c>
      <c r="H186" s="3">
        <v>402</v>
      </c>
      <c r="I186" s="3">
        <v>1484</v>
      </c>
      <c r="J186" s="3">
        <v>7136</v>
      </c>
      <c r="K186" s="3">
        <v>3060</v>
      </c>
      <c r="L186" s="3">
        <v>5910</v>
      </c>
      <c r="M186" s="3">
        <v>3124</v>
      </c>
      <c r="N186" s="3">
        <v>3660</v>
      </c>
      <c r="O186" s="3">
        <v>5629</v>
      </c>
      <c r="P186" s="3">
        <v>8176</v>
      </c>
      <c r="Q186" s="3">
        <v>6555</v>
      </c>
      <c r="R186" s="3">
        <v>8640</v>
      </c>
      <c r="S186" s="3">
        <v>7191</v>
      </c>
      <c r="T186" s="3">
        <v>7704</v>
      </c>
      <c r="U186" s="3">
        <v>6365</v>
      </c>
      <c r="V186" s="3">
        <v>9920</v>
      </c>
      <c r="W186" s="3">
        <v>9912</v>
      </c>
      <c r="X186" s="3">
        <v>7370</v>
      </c>
      <c r="Y186" s="3">
        <v>6233</v>
      </c>
      <c r="Z186" s="3">
        <v>21120</v>
      </c>
      <c r="AA186" s="7">
        <v>132121</v>
      </c>
      <c r="AB186" s="1">
        <v>3170904</v>
      </c>
      <c r="AC186" s="1">
        <v>3.6906940874035992</v>
      </c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 ht="21" customHeight="1" x14ac:dyDescent="0.3">
      <c r="A187" s="2"/>
      <c r="B187" s="2"/>
      <c r="C187" s="3">
        <v>1</v>
      </c>
      <c r="D187" s="3">
        <v>4</v>
      </c>
      <c r="E187" s="3">
        <v>9</v>
      </c>
      <c r="F187" s="3">
        <v>16</v>
      </c>
      <c r="G187" s="3">
        <v>25</v>
      </c>
      <c r="H187" s="3">
        <v>36</v>
      </c>
      <c r="I187" s="3">
        <v>49</v>
      </c>
      <c r="J187" s="3">
        <v>64</v>
      </c>
      <c r="K187" s="3">
        <v>81</v>
      </c>
      <c r="L187" s="3">
        <v>100</v>
      </c>
      <c r="M187" s="3">
        <v>121</v>
      </c>
      <c r="N187" s="3">
        <v>144</v>
      </c>
      <c r="O187" s="3">
        <v>169</v>
      </c>
      <c r="P187" s="3">
        <v>196</v>
      </c>
      <c r="Q187" s="3">
        <v>225</v>
      </c>
      <c r="R187" s="3">
        <v>256</v>
      </c>
      <c r="S187" s="3">
        <v>289</v>
      </c>
      <c r="T187" s="3">
        <v>324</v>
      </c>
      <c r="U187" s="3">
        <v>361</v>
      </c>
      <c r="V187" s="3">
        <v>400</v>
      </c>
      <c r="W187" s="3">
        <v>441</v>
      </c>
      <c r="X187" s="3">
        <v>484</v>
      </c>
      <c r="Y187" s="3">
        <v>529</v>
      </c>
      <c r="Z187" s="3">
        <v>576</v>
      </c>
      <c r="AA187" s="7">
        <v>4900</v>
      </c>
      <c r="AB187" s="1">
        <v>117600</v>
      </c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 ht="21" customHeight="1" x14ac:dyDescent="0.3">
      <c r="A188" s="2"/>
      <c r="B188" s="2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7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 ht="21" customHeight="1" x14ac:dyDescent="0.3">
      <c r="A189" s="2"/>
      <c r="B189" s="2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7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 ht="21" customHeight="1" x14ac:dyDescent="0.3">
      <c r="A190" s="2"/>
      <c r="B190" s="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7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 ht="21" customHeight="1" x14ac:dyDescent="0.3">
      <c r="A191" s="2"/>
      <c r="B191" s="2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7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 ht="21" customHeight="1" x14ac:dyDescent="0.3">
      <c r="A192" s="2" t="s">
        <v>30</v>
      </c>
      <c r="B192" s="2" t="s">
        <v>83</v>
      </c>
      <c r="C192" s="3">
        <v>106.1111111111111</v>
      </c>
      <c r="D192" s="3">
        <v>106.33333333333333</v>
      </c>
      <c r="E192" s="3">
        <v>40</v>
      </c>
      <c r="F192" s="3">
        <v>172</v>
      </c>
      <c r="G192" s="3">
        <v>107</v>
      </c>
      <c r="H192" s="3">
        <v>60</v>
      </c>
      <c r="I192" s="3">
        <v>127</v>
      </c>
      <c r="J192" s="3">
        <v>628</v>
      </c>
      <c r="K192" s="3">
        <v>291</v>
      </c>
      <c r="L192" s="3">
        <v>284</v>
      </c>
      <c r="M192" s="3">
        <v>166</v>
      </c>
      <c r="N192" s="3">
        <v>211</v>
      </c>
      <c r="O192" s="3">
        <v>316</v>
      </c>
      <c r="P192" s="3">
        <v>481</v>
      </c>
      <c r="Q192" s="3">
        <v>310</v>
      </c>
      <c r="R192" s="3">
        <v>371</v>
      </c>
      <c r="S192" s="3">
        <v>295</v>
      </c>
      <c r="T192" s="3">
        <v>277</v>
      </c>
      <c r="U192" s="3">
        <v>286</v>
      </c>
      <c r="V192" s="3">
        <v>304</v>
      </c>
      <c r="W192" s="3">
        <v>358</v>
      </c>
      <c r="X192" s="3">
        <v>229</v>
      </c>
      <c r="Y192" s="3">
        <v>166</v>
      </c>
      <c r="Z192" s="3">
        <v>615</v>
      </c>
      <c r="AA192" s="7">
        <v>6306.4444444444443</v>
      </c>
      <c r="AB192" s="1">
        <v>1891933.3333333333</v>
      </c>
      <c r="AC192" s="1">
        <v>229.35406550509376</v>
      </c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 ht="21" customHeight="1" x14ac:dyDescent="0.3">
      <c r="A193" s="2"/>
      <c r="B193" s="2"/>
      <c r="C193" s="3">
        <v>106.1111111111111</v>
      </c>
      <c r="D193" s="3">
        <v>212.66666666666666</v>
      </c>
      <c r="E193" s="3">
        <v>120</v>
      </c>
      <c r="F193" s="3">
        <v>688</v>
      </c>
      <c r="G193" s="3">
        <v>535</v>
      </c>
      <c r="H193" s="3">
        <v>360</v>
      </c>
      <c r="I193" s="3">
        <v>889</v>
      </c>
      <c r="J193" s="3">
        <v>5024</v>
      </c>
      <c r="K193" s="3">
        <v>2619</v>
      </c>
      <c r="L193" s="3">
        <v>2840</v>
      </c>
      <c r="M193" s="3">
        <v>1826</v>
      </c>
      <c r="N193" s="3">
        <v>2532</v>
      </c>
      <c r="O193" s="3">
        <v>4108</v>
      </c>
      <c r="P193" s="3">
        <v>6734</v>
      </c>
      <c r="Q193" s="3">
        <v>4650</v>
      </c>
      <c r="R193" s="3">
        <v>5936</v>
      </c>
      <c r="S193" s="3">
        <v>5015</v>
      </c>
      <c r="T193" s="3">
        <v>4986</v>
      </c>
      <c r="U193" s="3">
        <v>5434</v>
      </c>
      <c r="V193" s="3">
        <v>6080</v>
      </c>
      <c r="W193" s="3">
        <v>7518</v>
      </c>
      <c r="X193" s="3">
        <v>5038</v>
      </c>
      <c r="Y193" s="3">
        <v>3818</v>
      </c>
      <c r="Z193" s="3">
        <v>14760</v>
      </c>
      <c r="AA193" s="7">
        <v>91828.777777777781</v>
      </c>
      <c r="AB193" s="1">
        <v>2203890.666666667</v>
      </c>
      <c r="AC193" s="1">
        <v>2.6731562410739822</v>
      </c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 ht="21" customHeight="1" x14ac:dyDescent="0.3">
      <c r="A194" s="2"/>
      <c r="B194" s="2"/>
      <c r="C194" s="3">
        <v>1</v>
      </c>
      <c r="D194" s="3">
        <v>4</v>
      </c>
      <c r="E194" s="3">
        <v>9</v>
      </c>
      <c r="F194" s="3">
        <v>16</v>
      </c>
      <c r="G194" s="3">
        <v>25</v>
      </c>
      <c r="H194" s="3">
        <v>36</v>
      </c>
      <c r="I194" s="3">
        <v>49</v>
      </c>
      <c r="J194" s="3">
        <v>64</v>
      </c>
      <c r="K194" s="3">
        <v>81</v>
      </c>
      <c r="L194" s="3">
        <v>100</v>
      </c>
      <c r="M194" s="3">
        <v>121</v>
      </c>
      <c r="N194" s="3">
        <v>144</v>
      </c>
      <c r="O194" s="3">
        <v>169</v>
      </c>
      <c r="P194" s="3">
        <v>196</v>
      </c>
      <c r="Q194" s="3">
        <v>225</v>
      </c>
      <c r="R194" s="3">
        <v>256</v>
      </c>
      <c r="S194" s="3">
        <v>289</v>
      </c>
      <c r="T194" s="3">
        <v>324</v>
      </c>
      <c r="U194" s="3">
        <v>361</v>
      </c>
      <c r="V194" s="3">
        <v>400</v>
      </c>
      <c r="W194" s="3">
        <v>441</v>
      </c>
      <c r="X194" s="3">
        <v>484</v>
      </c>
      <c r="Y194" s="3">
        <v>529</v>
      </c>
      <c r="Z194" s="3">
        <v>576</v>
      </c>
      <c r="AA194" s="7">
        <v>4900</v>
      </c>
      <c r="AB194" s="1">
        <v>117600</v>
      </c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 ht="21" customHeight="1" x14ac:dyDescent="0.3">
      <c r="A195" s="2"/>
      <c r="B195" s="2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7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 ht="21" customHeight="1" x14ac:dyDescent="0.3">
      <c r="A196" s="2"/>
      <c r="B196" s="2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7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 ht="21" customHeight="1" x14ac:dyDescent="0.3">
      <c r="A197" s="2"/>
      <c r="B197" s="2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7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 ht="21" customHeight="1" x14ac:dyDescent="0.3">
      <c r="A198" s="2"/>
      <c r="B198" s="2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7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 ht="21" customHeight="1" x14ac:dyDescent="0.3">
      <c r="A199" s="2" t="s">
        <v>31</v>
      </c>
      <c r="B199" s="2" t="s">
        <v>84</v>
      </c>
      <c r="C199" s="3">
        <v>471.88888888888886</v>
      </c>
      <c r="D199" s="3">
        <v>514.66666666666663</v>
      </c>
      <c r="E199" s="3">
        <v>414</v>
      </c>
      <c r="F199" s="3">
        <v>487</v>
      </c>
      <c r="G199" s="3">
        <v>643</v>
      </c>
      <c r="H199" s="3">
        <v>219</v>
      </c>
      <c r="I199" s="3">
        <v>397</v>
      </c>
      <c r="J199" s="3">
        <v>950</v>
      </c>
      <c r="K199" s="3">
        <v>498</v>
      </c>
      <c r="L199" s="3">
        <v>891</v>
      </c>
      <c r="M199" s="3">
        <v>688</v>
      </c>
      <c r="N199" s="3">
        <v>744</v>
      </c>
      <c r="O199" s="3">
        <v>712</v>
      </c>
      <c r="P199" s="3">
        <v>712</v>
      </c>
      <c r="Q199" s="3">
        <v>742</v>
      </c>
      <c r="R199" s="3">
        <v>908</v>
      </c>
      <c r="S199" s="3">
        <v>758</v>
      </c>
      <c r="T199" s="3">
        <v>713</v>
      </c>
      <c r="U199" s="3">
        <v>617</v>
      </c>
      <c r="V199" s="3">
        <v>786</v>
      </c>
      <c r="W199" s="3">
        <v>698</v>
      </c>
      <c r="X199" s="3">
        <v>775</v>
      </c>
      <c r="Y199" s="3">
        <v>492</v>
      </c>
      <c r="Z199" s="3">
        <v>1046</v>
      </c>
      <c r="AA199" s="7">
        <v>15876.555555555555</v>
      </c>
      <c r="AB199" s="1">
        <v>4762966.666666666</v>
      </c>
      <c r="AC199" s="1">
        <v>617.29878368085303</v>
      </c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 ht="21" customHeight="1" x14ac:dyDescent="0.3">
      <c r="A200" s="2"/>
      <c r="B200" s="2"/>
      <c r="C200" s="3">
        <v>471.88888888888886</v>
      </c>
      <c r="D200" s="3">
        <v>1029.3333333333333</v>
      </c>
      <c r="E200" s="3">
        <v>1242</v>
      </c>
      <c r="F200" s="3">
        <v>1948</v>
      </c>
      <c r="G200" s="3">
        <v>3215</v>
      </c>
      <c r="H200" s="3">
        <v>1314</v>
      </c>
      <c r="I200" s="3">
        <v>2779</v>
      </c>
      <c r="J200" s="3">
        <v>7600</v>
      </c>
      <c r="K200" s="3">
        <v>4482</v>
      </c>
      <c r="L200" s="3">
        <v>8910</v>
      </c>
      <c r="M200" s="3">
        <v>7568</v>
      </c>
      <c r="N200" s="3">
        <v>8928</v>
      </c>
      <c r="O200" s="3">
        <v>9256</v>
      </c>
      <c r="P200" s="3">
        <v>9968</v>
      </c>
      <c r="Q200" s="3">
        <v>11130</v>
      </c>
      <c r="R200" s="3">
        <v>14528</v>
      </c>
      <c r="S200" s="3">
        <v>12886</v>
      </c>
      <c r="T200" s="3">
        <v>12834</v>
      </c>
      <c r="U200" s="3">
        <v>11723</v>
      </c>
      <c r="V200" s="3">
        <v>15720</v>
      </c>
      <c r="W200" s="3">
        <v>14658</v>
      </c>
      <c r="X200" s="3">
        <v>17050</v>
      </c>
      <c r="Y200" s="3">
        <v>11316</v>
      </c>
      <c r="Z200" s="3">
        <v>25104</v>
      </c>
      <c r="AA200" s="7">
        <v>215660.22222222222</v>
      </c>
      <c r="AB200" s="1">
        <v>5175845.333333333</v>
      </c>
      <c r="AC200" s="1">
        <v>3.5379491573836073</v>
      </c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 ht="21" customHeight="1" x14ac:dyDescent="0.3">
      <c r="A201" s="2"/>
      <c r="B201" s="2"/>
      <c r="C201" s="3">
        <v>1</v>
      </c>
      <c r="D201" s="3">
        <v>4</v>
      </c>
      <c r="E201" s="3">
        <v>9</v>
      </c>
      <c r="F201" s="3">
        <v>16</v>
      </c>
      <c r="G201" s="3">
        <v>25</v>
      </c>
      <c r="H201" s="3">
        <v>36</v>
      </c>
      <c r="I201" s="3">
        <v>49</v>
      </c>
      <c r="J201" s="3">
        <v>64</v>
      </c>
      <c r="K201" s="3">
        <v>81</v>
      </c>
      <c r="L201" s="3">
        <v>100</v>
      </c>
      <c r="M201" s="3">
        <v>121</v>
      </c>
      <c r="N201" s="3">
        <v>144</v>
      </c>
      <c r="O201" s="3">
        <v>169</v>
      </c>
      <c r="P201" s="3">
        <v>196</v>
      </c>
      <c r="Q201" s="3">
        <v>225</v>
      </c>
      <c r="R201" s="3">
        <v>256</v>
      </c>
      <c r="S201" s="3">
        <v>289</v>
      </c>
      <c r="T201" s="3">
        <v>324</v>
      </c>
      <c r="U201" s="3">
        <v>361</v>
      </c>
      <c r="V201" s="3">
        <v>400</v>
      </c>
      <c r="W201" s="3">
        <v>441</v>
      </c>
      <c r="X201" s="3">
        <v>484</v>
      </c>
      <c r="Y201" s="3">
        <v>529</v>
      </c>
      <c r="Z201" s="3">
        <v>576</v>
      </c>
      <c r="AA201" s="7">
        <v>4900</v>
      </c>
      <c r="AB201" s="1">
        <v>117600</v>
      </c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 ht="21" customHeight="1" x14ac:dyDescent="0.3">
      <c r="A202" s="2"/>
      <c r="B202" s="2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7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 ht="21" customHeight="1" x14ac:dyDescent="0.3">
      <c r="A203" s="2"/>
      <c r="B203" s="2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7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 ht="21" customHeight="1" x14ac:dyDescent="0.3">
      <c r="A204" s="2"/>
      <c r="B204" s="2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7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 ht="21" customHeight="1" x14ac:dyDescent="0.3">
      <c r="A205" s="2"/>
      <c r="B205" s="2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7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 ht="21" customHeight="1" x14ac:dyDescent="0.3">
      <c r="A206" s="2" t="s">
        <v>32</v>
      </c>
      <c r="B206" s="2" t="s">
        <v>85</v>
      </c>
      <c r="C206" s="3">
        <v>166.11111111111111</v>
      </c>
      <c r="D206" s="3">
        <v>190.33333333333334</v>
      </c>
      <c r="E206" s="3">
        <v>96</v>
      </c>
      <c r="F206" s="3">
        <v>212</v>
      </c>
      <c r="G206" s="3">
        <v>263</v>
      </c>
      <c r="H206" s="3">
        <v>75</v>
      </c>
      <c r="I206" s="3">
        <v>235</v>
      </c>
      <c r="J206" s="3">
        <v>598</v>
      </c>
      <c r="K206" s="3">
        <v>219</v>
      </c>
      <c r="L206" s="3">
        <v>324</v>
      </c>
      <c r="M206" s="3">
        <v>473</v>
      </c>
      <c r="N206" s="3">
        <v>325</v>
      </c>
      <c r="O206" s="3">
        <v>318</v>
      </c>
      <c r="P206" s="3">
        <v>301</v>
      </c>
      <c r="Q206" s="3">
        <v>393</v>
      </c>
      <c r="R206" s="3">
        <v>399</v>
      </c>
      <c r="S206" s="3">
        <v>364</v>
      </c>
      <c r="T206" s="3">
        <v>292</v>
      </c>
      <c r="U206" s="3">
        <v>295</v>
      </c>
      <c r="V206" s="3">
        <v>411</v>
      </c>
      <c r="W206" s="3">
        <v>361</v>
      </c>
      <c r="X206" s="3">
        <v>354</v>
      </c>
      <c r="Y206" s="3">
        <v>195</v>
      </c>
      <c r="Z206" s="3">
        <v>600</v>
      </c>
      <c r="AA206" s="7">
        <v>7459.4444444444443</v>
      </c>
      <c r="AB206" s="1">
        <v>2237833.3333333335</v>
      </c>
      <c r="AC206" s="1">
        <v>282.28133628487097</v>
      </c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 ht="21" customHeight="1" x14ac:dyDescent="0.3">
      <c r="A207" s="2"/>
      <c r="B207" s="2"/>
      <c r="C207" s="3">
        <v>166.11111111111111</v>
      </c>
      <c r="D207" s="3">
        <v>380.66666666666669</v>
      </c>
      <c r="E207" s="3">
        <v>288</v>
      </c>
      <c r="F207" s="3">
        <v>848</v>
      </c>
      <c r="G207" s="3">
        <v>1315</v>
      </c>
      <c r="H207" s="3">
        <v>450</v>
      </c>
      <c r="I207" s="3">
        <v>1645</v>
      </c>
      <c r="J207" s="3">
        <v>4784</v>
      </c>
      <c r="K207" s="3">
        <v>1971</v>
      </c>
      <c r="L207" s="3">
        <v>3240</v>
      </c>
      <c r="M207" s="3">
        <v>5203</v>
      </c>
      <c r="N207" s="3">
        <v>3900</v>
      </c>
      <c r="O207" s="3">
        <v>4134</v>
      </c>
      <c r="P207" s="3">
        <v>4214</v>
      </c>
      <c r="Q207" s="3">
        <v>5895</v>
      </c>
      <c r="R207" s="3">
        <v>6384</v>
      </c>
      <c r="S207" s="3">
        <v>6188</v>
      </c>
      <c r="T207" s="3">
        <v>5256</v>
      </c>
      <c r="U207" s="3">
        <v>5605</v>
      </c>
      <c r="V207" s="3">
        <v>8220</v>
      </c>
      <c r="W207" s="3">
        <v>7581</v>
      </c>
      <c r="X207" s="3">
        <v>7788</v>
      </c>
      <c r="Y207" s="3">
        <v>4485</v>
      </c>
      <c r="Z207" s="3">
        <v>14400</v>
      </c>
      <c r="AA207" s="7">
        <v>104340.77777777778</v>
      </c>
      <c r="AB207" s="1">
        <v>2504178.666666667</v>
      </c>
      <c r="AC207" s="1">
        <v>2.2823079120251371</v>
      </c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 ht="21" customHeight="1" x14ac:dyDescent="0.3">
      <c r="A208" s="2"/>
      <c r="B208" s="2"/>
      <c r="C208" s="3">
        <v>1</v>
      </c>
      <c r="D208" s="3">
        <v>4</v>
      </c>
      <c r="E208" s="3">
        <v>9</v>
      </c>
      <c r="F208" s="3">
        <v>16</v>
      </c>
      <c r="G208" s="3">
        <v>25</v>
      </c>
      <c r="H208" s="3">
        <v>36</v>
      </c>
      <c r="I208" s="3">
        <v>49</v>
      </c>
      <c r="J208" s="3">
        <v>64</v>
      </c>
      <c r="K208" s="3">
        <v>81</v>
      </c>
      <c r="L208" s="3">
        <v>100</v>
      </c>
      <c r="M208" s="3">
        <v>121</v>
      </c>
      <c r="N208" s="3">
        <v>144</v>
      </c>
      <c r="O208" s="3">
        <v>169</v>
      </c>
      <c r="P208" s="3">
        <v>196</v>
      </c>
      <c r="Q208" s="3">
        <v>225</v>
      </c>
      <c r="R208" s="3">
        <v>256</v>
      </c>
      <c r="S208" s="3">
        <v>289</v>
      </c>
      <c r="T208" s="3">
        <v>324</v>
      </c>
      <c r="U208" s="3">
        <v>361</v>
      </c>
      <c r="V208" s="3">
        <v>400</v>
      </c>
      <c r="W208" s="3">
        <v>441</v>
      </c>
      <c r="X208" s="3">
        <v>484</v>
      </c>
      <c r="Y208" s="3">
        <v>529</v>
      </c>
      <c r="Z208" s="3">
        <v>576</v>
      </c>
      <c r="AA208" s="7">
        <v>4900</v>
      </c>
      <c r="AB208" s="1">
        <v>117600</v>
      </c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 ht="21" customHeight="1" x14ac:dyDescent="0.3">
      <c r="A209" s="2"/>
      <c r="B209" s="2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7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 ht="21" customHeight="1" x14ac:dyDescent="0.3">
      <c r="A210" s="2"/>
      <c r="B210" s="2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7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 ht="21" customHeight="1" x14ac:dyDescent="0.3">
      <c r="A211" s="2"/>
      <c r="B211" s="2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7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 ht="21" customHeight="1" x14ac:dyDescent="0.3">
      <c r="A212" s="2"/>
      <c r="B212" s="2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7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 ht="21" customHeight="1" x14ac:dyDescent="0.3">
      <c r="A213" s="2" t="s">
        <v>33</v>
      </c>
      <c r="B213" s="2" t="s">
        <v>86</v>
      </c>
      <c r="C213" s="3">
        <v>127.44444444444446</v>
      </c>
      <c r="D213" s="3">
        <v>139.33333333333334</v>
      </c>
      <c r="E213" s="3">
        <v>72</v>
      </c>
      <c r="F213" s="3">
        <v>171</v>
      </c>
      <c r="G213" s="3">
        <v>175</v>
      </c>
      <c r="H213" s="3">
        <v>49</v>
      </c>
      <c r="I213" s="3">
        <v>153</v>
      </c>
      <c r="J213" s="3">
        <v>315</v>
      </c>
      <c r="K213" s="3">
        <v>256</v>
      </c>
      <c r="L213" s="3">
        <v>284</v>
      </c>
      <c r="M213" s="3">
        <v>127</v>
      </c>
      <c r="N213" s="3">
        <v>151</v>
      </c>
      <c r="O213" s="3">
        <v>244</v>
      </c>
      <c r="P213" s="3">
        <v>409</v>
      </c>
      <c r="Q213" s="3">
        <v>264</v>
      </c>
      <c r="R213" s="3">
        <v>246</v>
      </c>
      <c r="S213" s="3">
        <v>229</v>
      </c>
      <c r="T213" s="3">
        <v>297</v>
      </c>
      <c r="U213" s="3">
        <v>192</v>
      </c>
      <c r="V213" s="3">
        <v>309</v>
      </c>
      <c r="W213" s="3">
        <v>292</v>
      </c>
      <c r="X213" s="3">
        <v>172</v>
      </c>
      <c r="Y213" s="3">
        <v>139</v>
      </c>
      <c r="Z213" s="3">
        <v>580</v>
      </c>
      <c r="AA213" s="7">
        <v>5392.7777777777774</v>
      </c>
      <c r="AB213" s="1">
        <v>1617833.3333333333</v>
      </c>
      <c r="AC213" s="1">
        <v>199.24049081214889</v>
      </c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 ht="21" customHeight="1" x14ac:dyDescent="0.3">
      <c r="A214" s="2"/>
      <c r="B214" s="2"/>
      <c r="C214" s="3">
        <v>127.44444444444446</v>
      </c>
      <c r="D214" s="3">
        <v>278.66666666666669</v>
      </c>
      <c r="E214" s="3">
        <v>216</v>
      </c>
      <c r="F214" s="3">
        <v>684</v>
      </c>
      <c r="G214" s="3">
        <v>875</v>
      </c>
      <c r="H214" s="3">
        <v>294</v>
      </c>
      <c r="I214" s="3">
        <v>1071</v>
      </c>
      <c r="J214" s="3">
        <v>2520</v>
      </c>
      <c r="K214" s="3">
        <v>2304</v>
      </c>
      <c r="L214" s="3">
        <v>2840</v>
      </c>
      <c r="M214" s="3">
        <v>1397</v>
      </c>
      <c r="N214" s="3">
        <v>1812</v>
      </c>
      <c r="O214" s="3">
        <v>3172</v>
      </c>
      <c r="P214" s="3">
        <v>5726</v>
      </c>
      <c r="Q214" s="3">
        <v>3960</v>
      </c>
      <c r="R214" s="3">
        <v>3936</v>
      </c>
      <c r="S214" s="3">
        <v>3893</v>
      </c>
      <c r="T214" s="3">
        <v>5346</v>
      </c>
      <c r="U214" s="3">
        <v>3648</v>
      </c>
      <c r="V214" s="3">
        <v>6180</v>
      </c>
      <c r="W214" s="3">
        <v>6132</v>
      </c>
      <c r="X214" s="3">
        <v>3784</v>
      </c>
      <c r="Y214" s="3">
        <v>3197</v>
      </c>
      <c r="Z214" s="3">
        <v>13920</v>
      </c>
      <c r="AA214" s="7">
        <v>77313.111111111109</v>
      </c>
      <c r="AB214" s="1">
        <v>1855514.6666666665</v>
      </c>
      <c r="AC214" s="1">
        <v>2.0366866609540124</v>
      </c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 ht="21" customHeight="1" x14ac:dyDescent="0.3">
      <c r="A215" s="2"/>
      <c r="B215" s="2"/>
      <c r="C215" s="3">
        <v>1</v>
      </c>
      <c r="D215" s="3">
        <v>4</v>
      </c>
      <c r="E215" s="3">
        <v>9</v>
      </c>
      <c r="F215" s="3">
        <v>16</v>
      </c>
      <c r="G215" s="3">
        <v>25</v>
      </c>
      <c r="H215" s="3">
        <v>36</v>
      </c>
      <c r="I215" s="3">
        <v>49</v>
      </c>
      <c r="J215" s="3">
        <v>64</v>
      </c>
      <c r="K215" s="3">
        <v>81</v>
      </c>
      <c r="L215" s="3">
        <v>100</v>
      </c>
      <c r="M215" s="3">
        <v>121</v>
      </c>
      <c r="N215" s="3">
        <v>144</v>
      </c>
      <c r="O215" s="3">
        <v>169</v>
      </c>
      <c r="P215" s="3">
        <v>196</v>
      </c>
      <c r="Q215" s="3">
        <v>225</v>
      </c>
      <c r="R215" s="3">
        <v>256</v>
      </c>
      <c r="S215" s="3">
        <v>289</v>
      </c>
      <c r="T215" s="3">
        <v>324</v>
      </c>
      <c r="U215" s="3">
        <v>361</v>
      </c>
      <c r="V215" s="3">
        <v>400</v>
      </c>
      <c r="W215" s="3">
        <v>441</v>
      </c>
      <c r="X215" s="3">
        <v>484</v>
      </c>
      <c r="Y215" s="3">
        <v>529</v>
      </c>
      <c r="Z215" s="3">
        <v>576</v>
      </c>
      <c r="AA215" s="7">
        <v>4900</v>
      </c>
      <c r="AB215" s="1">
        <v>117600</v>
      </c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 ht="21" customHeight="1" x14ac:dyDescent="0.3">
      <c r="A216" s="2"/>
      <c r="B216" s="2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7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 ht="21" customHeight="1" x14ac:dyDescent="0.3">
      <c r="A217" s="2"/>
      <c r="B217" s="2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7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 ht="21" customHeight="1" x14ac:dyDescent="0.3">
      <c r="A218" s="2"/>
      <c r="B218" s="2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7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 ht="21" customHeight="1" x14ac:dyDescent="0.3">
      <c r="A219" s="2"/>
      <c r="B219" s="2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7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 ht="21" customHeight="1" x14ac:dyDescent="0.3">
      <c r="A220" s="2" t="s">
        <v>34</v>
      </c>
      <c r="B220" s="2" t="s">
        <v>87</v>
      </c>
      <c r="C220" s="3">
        <v>225.22222222222226</v>
      </c>
      <c r="D220" s="3">
        <v>258.66666666666669</v>
      </c>
      <c r="E220" s="3">
        <v>136</v>
      </c>
      <c r="F220" s="3">
        <v>281</v>
      </c>
      <c r="G220" s="3">
        <v>359</v>
      </c>
      <c r="H220" s="3">
        <v>108</v>
      </c>
      <c r="I220" s="3">
        <v>394</v>
      </c>
      <c r="J220" s="3">
        <v>591</v>
      </c>
      <c r="K220" s="3">
        <v>223</v>
      </c>
      <c r="L220" s="3">
        <v>496</v>
      </c>
      <c r="M220" s="3">
        <v>471</v>
      </c>
      <c r="N220" s="3">
        <v>487</v>
      </c>
      <c r="O220" s="3">
        <v>400</v>
      </c>
      <c r="P220" s="3">
        <v>565</v>
      </c>
      <c r="Q220" s="3">
        <v>506</v>
      </c>
      <c r="R220" s="3">
        <v>520</v>
      </c>
      <c r="S220" s="3">
        <v>509</v>
      </c>
      <c r="T220" s="3">
        <v>523</v>
      </c>
      <c r="U220" s="3">
        <v>393</v>
      </c>
      <c r="V220" s="3">
        <v>630</v>
      </c>
      <c r="W220" s="3">
        <v>545</v>
      </c>
      <c r="X220" s="3">
        <v>547</v>
      </c>
      <c r="Y220" s="3">
        <v>326</v>
      </c>
      <c r="Z220" s="3">
        <v>794</v>
      </c>
      <c r="AA220" s="7">
        <v>10287.888888888889</v>
      </c>
      <c r="AB220" s="1">
        <v>3086366.6666666665</v>
      </c>
      <c r="AC220" s="1">
        <v>380.37426211558596</v>
      </c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 ht="21" customHeight="1" x14ac:dyDescent="0.3">
      <c r="A221" s="2"/>
      <c r="B221" s="2"/>
      <c r="C221" s="3">
        <v>225.22222222222226</v>
      </c>
      <c r="D221" s="3">
        <v>517.33333333333337</v>
      </c>
      <c r="E221" s="3">
        <v>408</v>
      </c>
      <c r="F221" s="3">
        <v>1124</v>
      </c>
      <c r="G221" s="3">
        <v>1795</v>
      </c>
      <c r="H221" s="3">
        <v>648</v>
      </c>
      <c r="I221" s="3">
        <v>2758</v>
      </c>
      <c r="J221" s="3">
        <v>4728</v>
      </c>
      <c r="K221" s="3">
        <v>2007</v>
      </c>
      <c r="L221" s="3">
        <v>4960</v>
      </c>
      <c r="M221" s="3">
        <v>5181</v>
      </c>
      <c r="N221" s="3">
        <v>5844</v>
      </c>
      <c r="O221" s="3">
        <v>5200</v>
      </c>
      <c r="P221" s="3">
        <v>7910</v>
      </c>
      <c r="Q221" s="3">
        <v>7590</v>
      </c>
      <c r="R221" s="3">
        <v>8320</v>
      </c>
      <c r="S221" s="3">
        <v>8653</v>
      </c>
      <c r="T221" s="3">
        <v>9414</v>
      </c>
      <c r="U221" s="3">
        <v>7467</v>
      </c>
      <c r="V221" s="3">
        <v>12600</v>
      </c>
      <c r="W221" s="3">
        <v>11445</v>
      </c>
      <c r="X221" s="3">
        <v>12034</v>
      </c>
      <c r="Y221" s="3">
        <v>7498</v>
      </c>
      <c r="Z221" s="3">
        <v>19056</v>
      </c>
      <c r="AA221" s="7">
        <v>147382.55555555556</v>
      </c>
      <c r="AB221" s="1">
        <v>3537181.3333333335</v>
      </c>
      <c r="AC221" s="1">
        <v>3.8630219937160839</v>
      </c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 ht="21" customHeight="1" x14ac:dyDescent="0.3">
      <c r="A222" s="2"/>
      <c r="B222" s="2"/>
      <c r="C222" s="3">
        <v>1</v>
      </c>
      <c r="D222" s="3">
        <v>4</v>
      </c>
      <c r="E222" s="3">
        <v>9</v>
      </c>
      <c r="F222" s="3">
        <v>16</v>
      </c>
      <c r="G222" s="3">
        <v>25</v>
      </c>
      <c r="H222" s="3">
        <v>36</v>
      </c>
      <c r="I222" s="3">
        <v>49</v>
      </c>
      <c r="J222" s="3">
        <v>64</v>
      </c>
      <c r="K222" s="3">
        <v>81</v>
      </c>
      <c r="L222" s="3">
        <v>100</v>
      </c>
      <c r="M222" s="3">
        <v>121</v>
      </c>
      <c r="N222" s="3">
        <v>144</v>
      </c>
      <c r="O222" s="3">
        <v>169</v>
      </c>
      <c r="P222" s="3">
        <v>196</v>
      </c>
      <c r="Q222" s="3">
        <v>225</v>
      </c>
      <c r="R222" s="3">
        <v>256</v>
      </c>
      <c r="S222" s="3">
        <v>289</v>
      </c>
      <c r="T222" s="3">
        <v>324</v>
      </c>
      <c r="U222" s="3">
        <v>361</v>
      </c>
      <c r="V222" s="3">
        <v>400</v>
      </c>
      <c r="W222" s="3">
        <v>441</v>
      </c>
      <c r="X222" s="3">
        <v>484</v>
      </c>
      <c r="Y222" s="3">
        <v>529</v>
      </c>
      <c r="Z222" s="3">
        <v>576</v>
      </c>
      <c r="AA222" s="7">
        <v>4900</v>
      </c>
      <c r="AB222" s="1">
        <v>117600</v>
      </c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 ht="21" customHeight="1" x14ac:dyDescent="0.3">
      <c r="A223" s="2"/>
      <c r="B223" s="2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7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 ht="21" customHeight="1" x14ac:dyDescent="0.3">
      <c r="A224" s="2"/>
      <c r="B224" s="2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7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 ht="21" customHeight="1" x14ac:dyDescent="0.3">
      <c r="A225" s="2"/>
      <c r="B225" s="2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7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 ht="21" customHeight="1" x14ac:dyDescent="0.3">
      <c r="A226" s="2"/>
      <c r="B226" s="2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7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 ht="21" customHeight="1" x14ac:dyDescent="0.3">
      <c r="A227" s="2" t="s">
        <v>35</v>
      </c>
      <c r="B227" s="2" t="s">
        <v>88</v>
      </c>
      <c r="C227" s="3">
        <v>35.222222222222221</v>
      </c>
      <c r="D227" s="3">
        <v>43.666666666666664</v>
      </c>
      <c r="E227" s="3">
        <v>32</v>
      </c>
      <c r="F227" s="3">
        <v>30</v>
      </c>
      <c r="G227" s="3">
        <v>69</v>
      </c>
      <c r="H227" s="3">
        <v>14</v>
      </c>
      <c r="I227" s="3">
        <v>87</v>
      </c>
      <c r="J227" s="3">
        <v>159</v>
      </c>
      <c r="K227" s="3">
        <v>63</v>
      </c>
      <c r="L227" s="3">
        <v>75</v>
      </c>
      <c r="M227" s="3">
        <v>52</v>
      </c>
      <c r="N227" s="3">
        <v>137</v>
      </c>
      <c r="O227" s="3">
        <v>140</v>
      </c>
      <c r="P227" s="3">
        <v>182</v>
      </c>
      <c r="Q227" s="3">
        <v>177</v>
      </c>
      <c r="R227" s="3">
        <v>129</v>
      </c>
      <c r="S227" s="3">
        <v>119</v>
      </c>
      <c r="T227" s="3">
        <v>61</v>
      </c>
      <c r="U227" s="3">
        <v>306</v>
      </c>
      <c r="V227" s="3">
        <v>185</v>
      </c>
      <c r="W227" s="3">
        <v>83</v>
      </c>
      <c r="X227" s="3">
        <v>90</v>
      </c>
      <c r="Y227" s="3">
        <v>280</v>
      </c>
      <c r="Z227" s="3">
        <v>213</v>
      </c>
      <c r="AA227" s="7">
        <v>2761.8888888888887</v>
      </c>
      <c r="AB227" s="1">
        <v>828566.66666666663</v>
      </c>
      <c r="AC227" s="1">
        <v>92.829489193563745</v>
      </c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 ht="21" customHeight="1" x14ac:dyDescent="0.3">
      <c r="A228" s="2"/>
      <c r="B228" s="2"/>
      <c r="C228" s="3">
        <v>35.222222222222221</v>
      </c>
      <c r="D228" s="3">
        <v>87.333333333333329</v>
      </c>
      <c r="E228" s="3">
        <v>96</v>
      </c>
      <c r="F228" s="3">
        <v>120</v>
      </c>
      <c r="G228" s="3">
        <v>345</v>
      </c>
      <c r="H228" s="3">
        <v>84</v>
      </c>
      <c r="I228" s="3">
        <v>609</v>
      </c>
      <c r="J228" s="3">
        <v>1272</v>
      </c>
      <c r="K228" s="3">
        <v>567</v>
      </c>
      <c r="L228" s="3">
        <v>750</v>
      </c>
      <c r="M228" s="3">
        <v>572</v>
      </c>
      <c r="N228" s="3">
        <v>1644</v>
      </c>
      <c r="O228" s="3">
        <v>1820</v>
      </c>
      <c r="P228" s="3">
        <v>2548</v>
      </c>
      <c r="Q228" s="3">
        <v>2655</v>
      </c>
      <c r="R228" s="3">
        <v>2064</v>
      </c>
      <c r="S228" s="3">
        <v>2023</v>
      </c>
      <c r="T228" s="3">
        <v>1098</v>
      </c>
      <c r="U228" s="3">
        <v>5814</v>
      </c>
      <c r="V228" s="3">
        <v>3700</v>
      </c>
      <c r="W228" s="3">
        <v>1743</v>
      </c>
      <c r="X228" s="3">
        <v>1980</v>
      </c>
      <c r="Y228" s="3">
        <v>6440</v>
      </c>
      <c r="Z228" s="3">
        <v>5112</v>
      </c>
      <c r="AA228" s="7">
        <v>43178.555555555555</v>
      </c>
      <c r="AB228" s="1">
        <v>1036285.3333333333</v>
      </c>
      <c r="AC228" s="1">
        <v>1.7799371608111965</v>
      </c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 ht="21" customHeight="1" x14ac:dyDescent="0.3">
      <c r="A229" s="2"/>
      <c r="B229" s="2"/>
      <c r="C229" s="3">
        <v>1</v>
      </c>
      <c r="D229" s="3">
        <v>4</v>
      </c>
      <c r="E229" s="3">
        <v>9</v>
      </c>
      <c r="F229" s="3">
        <v>16</v>
      </c>
      <c r="G229" s="3">
        <v>25</v>
      </c>
      <c r="H229" s="3">
        <v>36</v>
      </c>
      <c r="I229" s="3">
        <v>49</v>
      </c>
      <c r="J229" s="3">
        <v>64</v>
      </c>
      <c r="K229" s="3">
        <v>81</v>
      </c>
      <c r="L229" s="3">
        <v>100</v>
      </c>
      <c r="M229" s="3">
        <v>121</v>
      </c>
      <c r="N229" s="3">
        <v>144</v>
      </c>
      <c r="O229" s="3">
        <v>169</v>
      </c>
      <c r="P229" s="3">
        <v>196</v>
      </c>
      <c r="Q229" s="3">
        <v>225</v>
      </c>
      <c r="R229" s="3">
        <v>256</v>
      </c>
      <c r="S229" s="3">
        <v>289</v>
      </c>
      <c r="T229" s="3">
        <v>324</v>
      </c>
      <c r="U229" s="3">
        <v>361</v>
      </c>
      <c r="V229" s="3">
        <v>400</v>
      </c>
      <c r="W229" s="3">
        <v>441</v>
      </c>
      <c r="X229" s="3">
        <v>484</v>
      </c>
      <c r="Y229" s="3">
        <v>529</v>
      </c>
      <c r="Z229" s="3">
        <v>576</v>
      </c>
      <c r="AA229" s="7">
        <v>4900</v>
      </c>
      <c r="AB229" s="1">
        <v>117600</v>
      </c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 ht="21" customHeight="1" x14ac:dyDescent="0.3">
      <c r="A230" s="2"/>
      <c r="B230" s="2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7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 ht="21" customHeight="1" x14ac:dyDescent="0.3">
      <c r="A231" s="2"/>
      <c r="B231" s="2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7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 ht="21" customHeight="1" x14ac:dyDescent="0.3">
      <c r="A232" s="2"/>
      <c r="B232" s="2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7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 ht="21" customHeight="1" x14ac:dyDescent="0.3">
      <c r="A233" s="2"/>
      <c r="B233" s="2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7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 ht="21" customHeight="1" x14ac:dyDescent="0.3">
      <c r="A234" s="2" t="s">
        <v>36</v>
      </c>
      <c r="B234" s="2" t="s">
        <v>89</v>
      </c>
      <c r="C234" s="3">
        <v>65.666666666666671</v>
      </c>
      <c r="D234" s="3">
        <v>66</v>
      </c>
      <c r="E234" s="3">
        <v>33</v>
      </c>
      <c r="F234" s="3">
        <v>98</v>
      </c>
      <c r="G234" s="3">
        <v>67</v>
      </c>
      <c r="H234" s="3">
        <v>25</v>
      </c>
      <c r="I234" s="3">
        <v>78</v>
      </c>
      <c r="J234" s="3">
        <v>340</v>
      </c>
      <c r="K234" s="3">
        <v>136</v>
      </c>
      <c r="L234" s="3">
        <v>204</v>
      </c>
      <c r="M234" s="3">
        <v>140</v>
      </c>
      <c r="N234" s="3">
        <v>116</v>
      </c>
      <c r="O234" s="3">
        <v>122</v>
      </c>
      <c r="P234" s="3">
        <v>130</v>
      </c>
      <c r="Q234" s="3">
        <v>104</v>
      </c>
      <c r="R234" s="3">
        <v>137</v>
      </c>
      <c r="S234" s="3">
        <v>164</v>
      </c>
      <c r="T234" s="3">
        <v>188</v>
      </c>
      <c r="U234" s="3">
        <v>118</v>
      </c>
      <c r="V234" s="3">
        <v>328</v>
      </c>
      <c r="W234" s="3">
        <v>228</v>
      </c>
      <c r="X234" s="3">
        <v>124</v>
      </c>
      <c r="Y234" s="3">
        <v>126</v>
      </c>
      <c r="Z234" s="3">
        <v>137</v>
      </c>
      <c r="AA234" s="7">
        <v>3274.666666666667</v>
      </c>
      <c r="AB234" s="1">
        <v>982400.00000000012</v>
      </c>
      <c r="AC234" s="1">
        <v>122.21222507854901</v>
      </c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 ht="21" customHeight="1" x14ac:dyDescent="0.3">
      <c r="A235" s="2"/>
      <c r="B235" s="2"/>
      <c r="C235" s="3">
        <v>65.666666666666671</v>
      </c>
      <c r="D235" s="3">
        <v>132</v>
      </c>
      <c r="E235" s="3">
        <v>99</v>
      </c>
      <c r="F235" s="3">
        <v>392</v>
      </c>
      <c r="G235" s="3">
        <v>335</v>
      </c>
      <c r="H235" s="3">
        <v>150</v>
      </c>
      <c r="I235" s="3">
        <v>546</v>
      </c>
      <c r="J235" s="3">
        <v>2720</v>
      </c>
      <c r="K235" s="3">
        <v>1224</v>
      </c>
      <c r="L235" s="3">
        <v>2040</v>
      </c>
      <c r="M235" s="3">
        <v>1540</v>
      </c>
      <c r="N235" s="3">
        <v>1392</v>
      </c>
      <c r="O235" s="3">
        <v>1586</v>
      </c>
      <c r="P235" s="3">
        <v>1820</v>
      </c>
      <c r="Q235" s="3">
        <v>1560</v>
      </c>
      <c r="R235" s="3">
        <v>2192</v>
      </c>
      <c r="S235" s="3">
        <v>2788</v>
      </c>
      <c r="T235" s="3">
        <v>3384</v>
      </c>
      <c r="U235" s="3">
        <v>2242</v>
      </c>
      <c r="V235" s="3">
        <v>6560</v>
      </c>
      <c r="W235" s="3">
        <v>4788</v>
      </c>
      <c r="X235" s="3">
        <v>2728</v>
      </c>
      <c r="Y235" s="3">
        <v>2898</v>
      </c>
      <c r="Z235" s="3">
        <v>3288</v>
      </c>
      <c r="AA235" s="7">
        <v>46469.666666666672</v>
      </c>
      <c r="AB235" s="1">
        <v>1115272</v>
      </c>
      <c r="AC235" s="1">
        <v>1.1385775492716357</v>
      </c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 ht="21" customHeight="1" x14ac:dyDescent="0.3">
      <c r="A236" s="2"/>
      <c r="B236" s="2"/>
      <c r="C236" s="3">
        <v>1</v>
      </c>
      <c r="D236" s="3">
        <v>4</v>
      </c>
      <c r="E236" s="3">
        <v>9</v>
      </c>
      <c r="F236" s="3">
        <v>16</v>
      </c>
      <c r="G236" s="3">
        <v>25</v>
      </c>
      <c r="H236" s="3">
        <v>36</v>
      </c>
      <c r="I236" s="3">
        <v>49</v>
      </c>
      <c r="J236" s="3">
        <v>64</v>
      </c>
      <c r="K236" s="3">
        <v>81</v>
      </c>
      <c r="L236" s="3">
        <v>100</v>
      </c>
      <c r="M236" s="3">
        <v>121</v>
      </c>
      <c r="N236" s="3">
        <v>144</v>
      </c>
      <c r="O236" s="3">
        <v>169</v>
      </c>
      <c r="P236" s="3">
        <v>196</v>
      </c>
      <c r="Q236" s="3">
        <v>225</v>
      </c>
      <c r="R236" s="3">
        <v>256</v>
      </c>
      <c r="S236" s="3">
        <v>289</v>
      </c>
      <c r="T236" s="3">
        <v>324</v>
      </c>
      <c r="U236" s="3">
        <v>361</v>
      </c>
      <c r="V236" s="3">
        <v>400</v>
      </c>
      <c r="W236" s="3">
        <v>441</v>
      </c>
      <c r="X236" s="3">
        <v>484</v>
      </c>
      <c r="Y236" s="3">
        <v>529</v>
      </c>
      <c r="Z236" s="3">
        <v>576</v>
      </c>
      <c r="AA236" s="7">
        <v>4900</v>
      </c>
      <c r="AB236" s="1">
        <v>117600</v>
      </c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 ht="21" customHeight="1" x14ac:dyDescent="0.3">
      <c r="A237" s="2"/>
      <c r="B237" s="2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7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 ht="21" customHeight="1" x14ac:dyDescent="0.3">
      <c r="A238" s="2"/>
      <c r="B238" s="2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7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 ht="21" customHeight="1" x14ac:dyDescent="0.3">
      <c r="A239" s="2"/>
      <c r="B239" s="2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7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 ht="21" customHeight="1" x14ac:dyDescent="0.3">
      <c r="A240" s="2"/>
      <c r="B240" s="2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7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 ht="21" customHeight="1" x14ac:dyDescent="0.3">
      <c r="A241" s="2" t="s">
        <v>37</v>
      </c>
      <c r="B241" s="2" t="s">
        <v>90</v>
      </c>
      <c r="C241" s="3">
        <v>35.333333333333336</v>
      </c>
      <c r="D241" s="3">
        <v>43</v>
      </c>
      <c r="E241" s="3">
        <v>26</v>
      </c>
      <c r="F241" s="3">
        <v>37</v>
      </c>
      <c r="G241" s="3">
        <v>66</v>
      </c>
      <c r="H241" s="3">
        <v>20</v>
      </c>
      <c r="I241" s="3">
        <v>61</v>
      </c>
      <c r="J241" s="3">
        <v>161</v>
      </c>
      <c r="K241" s="3">
        <v>87</v>
      </c>
      <c r="L241" s="3">
        <v>138</v>
      </c>
      <c r="M241" s="3">
        <v>79</v>
      </c>
      <c r="N241" s="3">
        <v>63</v>
      </c>
      <c r="O241" s="3">
        <v>61</v>
      </c>
      <c r="P241" s="3">
        <v>68</v>
      </c>
      <c r="Q241" s="3">
        <v>60</v>
      </c>
      <c r="R241" s="3">
        <v>65</v>
      </c>
      <c r="S241" s="3">
        <v>122</v>
      </c>
      <c r="T241" s="3">
        <v>92</v>
      </c>
      <c r="U241" s="3">
        <v>60</v>
      </c>
      <c r="V241" s="3">
        <v>297</v>
      </c>
      <c r="W241" s="3">
        <v>115</v>
      </c>
      <c r="X241" s="3">
        <v>56</v>
      </c>
      <c r="Y241" s="3">
        <v>94</v>
      </c>
      <c r="Z241" s="3">
        <v>84</v>
      </c>
      <c r="AA241" s="7">
        <v>1990.3333333333335</v>
      </c>
      <c r="AB241" s="1">
        <v>597100</v>
      </c>
      <c r="AC241" s="1">
        <v>73.313160525564129</v>
      </c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 ht="21" customHeight="1" x14ac:dyDescent="0.3">
      <c r="A242" s="2"/>
      <c r="B242" s="2"/>
      <c r="C242" s="3">
        <v>35.333333333333336</v>
      </c>
      <c r="D242" s="3">
        <v>86</v>
      </c>
      <c r="E242" s="3">
        <v>78</v>
      </c>
      <c r="F242" s="3">
        <v>148</v>
      </c>
      <c r="G242" s="3">
        <v>330</v>
      </c>
      <c r="H242" s="3">
        <v>120</v>
      </c>
      <c r="I242" s="3">
        <v>427</v>
      </c>
      <c r="J242" s="3">
        <v>1288</v>
      </c>
      <c r="K242" s="3">
        <v>783</v>
      </c>
      <c r="L242" s="3">
        <v>1380</v>
      </c>
      <c r="M242" s="3">
        <v>869</v>
      </c>
      <c r="N242" s="3">
        <v>756</v>
      </c>
      <c r="O242" s="3">
        <v>793</v>
      </c>
      <c r="P242" s="3">
        <v>952</v>
      </c>
      <c r="Q242" s="3">
        <v>900</v>
      </c>
      <c r="R242" s="3">
        <v>1040</v>
      </c>
      <c r="S242" s="3">
        <v>2074</v>
      </c>
      <c r="T242" s="3">
        <v>1656</v>
      </c>
      <c r="U242" s="3">
        <v>1140</v>
      </c>
      <c r="V242" s="3">
        <v>5940</v>
      </c>
      <c r="W242" s="3">
        <v>2415</v>
      </c>
      <c r="X242" s="3">
        <v>1232</v>
      </c>
      <c r="Y242" s="3">
        <v>2162</v>
      </c>
      <c r="Z242" s="3">
        <v>2016</v>
      </c>
      <c r="AA242" s="7">
        <v>28620.333333333336</v>
      </c>
      <c r="AB242" s="1">
        <v>686888</v>
      </c>
      <c r="AC242" s="1">
        <v>0.76939160239931448</v>
      </c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 ht="21" customHeight="1" x14ac:dyDescent="0.3">
      <c r="A243" s="2"/>
      <c r="B243" s="2"/>
      <c r="C243" s="3">
        <v>1</v>
      </c>
      <c r="D243" s="3">
        <v>4</v>
      </c>
      <c r="E243" s="3">
        <v>9</v>
      </c>
      <c r="F243" s="3">
        <v>16</v>
      </c>
      <c r="G243" s="3">
        <v>25</v>
      </c>
      <c r="H243" s="3">
        <v>36</v>
      </c>
      <c r="I243" s="3">
        <v>49</v>
      </c>
      <c r="J243" s="3">
        <v>64</v>
      </c>
      <c r="K243" s="3">
        <v>81</v>
      </c>
      <c r="L243" s="3">
        <v>100</v>
      </c>
      <c r="M243" s="3">
        <v>121</v>
      </c>
      <c r="N243" s="3">
        <v>144</v>
      </c>
      <c r="O243" s="3">
        <v>169</v>
      </c>
      <c r="P243" s="3">
        <v>196</v>
      </c>
      <c r="Q243" s="3">
        <v>225</v>
      </c>
      <c r="R243" s="3">
        <v>256</v>
      </c>
      <c r="S243" s="3">
        <v>289</v>
      </c>
      <c r="T243" s="3">
        <v>324</v>
      </c>
      <c r="U243" s="3">
        <v>361</v>
      </c>
      <c r="V243" s="3">
        <v>400</v>
      </c>
      <c r="W243" s="3">
        <v>441</v>
      </c>
      <c r="X243" s="3">
        <v>484</v>
      </c>
      <c r="Y243" s="3">
        <v>529</v>
      </c>
      <c r="Z243" s="3">
        <v>576</v>
      </c>
      <c r="AA243" s="7">
        <v>4900</v>
      </c>
      <c r="AB243" s="1">
        <v>117600</v>
      </c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 ht="21" customHeight="1" x14ac:dyDescent="0.3">
      <c r="A244" s="2"/>
      <c r="B244" s="2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7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 ht="21" customHeight="1" x14ac:dyDescent="0.3">
      <c r="A245" s="2"/>
      <c r="B245" s="2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7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 ht="21" customHeight="1" x14ac:dyDescent="0.3">
      <c r="A246" s="2"/>
      <c r="B246" s="2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7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 ht="21" customHeight="1" x14ac:dyDescent="0.3">
      <c r="A247" s="2"/>
      <c r="B247" s="2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7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 ht="21" customHeight="1" x14ac:dyDescent="0.3">
      <c r="A248" s="2" t="s">
        <v>38</v>
      </c>
      <c r="B248" s="2" t="s">
        <v>91</v>
      </c>
      <c r="C248" s="3">
        <v>125.55555555555554</v>
      </c>
      <c r="D248" s="3">
        <v>138.66666666666666</v>
      </c>
      <c r="E248" s="3">
        <v>68</v>
      </c>
      <c r="F248" s="3">
        <v>170</v>
      </c>
      <c r="G248" s="3">
        <v>178</v>
      </c>
      <c r="H248" s="3">
        <v>67</v>
      </c>
      <c r="I248" s="3">
        <v>189</v>
      </c>
      <c r="J248" s="3">
        <v>356</v>
      </c>
      <c r="K248" s="3">
        <v>188</v>
      </c>
      <c r="L248" s="3">
        <v>308</v>
      </c>
      <c r="M248" s="3">
        <v>160</v>
      </c>
      <c r="N248" s="3">
        <v>194</v>
      </c>
      <c r="O248" s="3">
        <v>207</v>
      </c>
      <c r="P248" s="3">
        <v>169</v>
      </c>
      <c r="Q248" s="3">
        <v>154</v>
      </c>
      <c r="R248" s="3">
        <v>258</v>
      </c>
      <c r="S248" s="3">
        <v>258</v>
      </c>
      <c r="T248" s="3">
        <v>240</v>
      </c>
      <c r="U248" s="3">
        <v>160</v>
      </c>
      <c r="V248" s="3">
        <v>435</v>
      </c>
      <c r="W248" s="3">
        <v>293</v>
      </c>
      <c r="X248" s="3">
        <v>212</v>
      </c>
      <c r="Y248" s="3">
        <v>241</v>
      </c>
      <c r="Z248" s="3">
        <v>209</v>
      </c>
      <c r="AA248" s="7">
        <v>4978.2222222222226</v>
      </c>
      <c r="AB248" s="1">
        <v>1493466.6666666667</v>
      </c>
      <c r="AC248" s="1">
        <v>190.20456060173285</v>
      </c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 ht="21" customHeight="1" x14ac:dyDescent="0.3">
      <c r="A249" s="2"/>
      <c r="B249" s="2"/>
      <c r="C249" s="3">
        <v>125.55555555555554</v>
      </c>
      <c r="D249" s="3">
        <v>277.33333333333331</v>
      </c>
      <c r="E249" s="3">
        <v>204</v>
      </c>
      <c r="F249" s="3">
        <v>680</v>
      </c>
      <c r="G249" s="3">
        <v>890</v>
      </c>
      <c r="H249" s="3">
        <v>402</v>
      </c>
      <c r="I249" s="3">
        <v>1323</v>
      </c>
      <c r="J249" s="3">
        <v>2848</v>
      </c>
      <c r="K249" s="3">
        <v>1692</v>
      </c>
      <c r="L249" s="3">
        <v>3080</v>
      </c>
      <c r="M249" s="3">
        <v>1760</v>
      </c>
      <c r="N249" s="3">
        <v>2328</v>
      </c>
      <c r="O249" s="3">
        <v>2691</v>
      </c>
      <c r="P249" s="3">
        <v>2366</v>
      </c>
      <c r="Q249" s="3">
        <v>2310</v>
      </c>
      <c r="R249" s="3">
        <v>4128</v>
      </c>
      <c r="S249" s="3">
        <v>4386</v>
      </c>
      <c r="T249" s="3">
        <v>4320</v>
      </c>
      <c r="U249" s="3">
        <v>3040</v>
      </c>
      <c r="V249" s="3">
        <v>8700</v>
      </c>
      <c r="W249" s="3">
        <v>6153</v>
      </c>
      <c r="X249" s="3">
        <v>4664</v>
      </c>
      <c r="Y249" s="3">
        <v>5543</v>
      </c>
      <c r="Z249" s="3">
        <v>5016</v>
      </c>
      <c r="AA249" s="7">
        <v>68926.888888888891</v>
      </c>
      <c r="AB249" s="1">
        <v>1654245.3333333335</v>
      </c>
      <c r="AC249" s="1">
        <v>1.3777092259354478</v>
      </c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 ht="21" customHeight="1" x14ac:dyDescent="0.3">
      <c r="A250" s="2"/>
      <c r="B250" s="2"/>
      <c r="C250" s="3">
        <v>1</v>
      </c>
      <c r="D250" s="3">
        <v>4</v>
      </c>
      <c r="E250" s="3">
        <v>9</v>
      </c>
      <c r="F250" s="3">
        <v>16</v>
      </c>
      <c r="G250" s="3">
        <v>25</v>
      </c>
      <c r="H250" s="3">
        <v>36</v>
      </c>
      <c r="I250" s="3">
        <v>49</v>
      </c>
      <c r="J250" s="3">
        <v>64</v>
      </c>
      <c r="K250" s="3">
        <v>81</v>
      </c>
      <c r="L250" s="3">
        <v>100</v>
      </c>
      <c r="M250" s="3">
        <v>121</v>
      </c>
      <c r="N250" s="3">
        <v>144</v>
      </c>
      <c r="O250" s="3">
        <v>169</v>
      </c>
      <c r="P250" s="3">
        <v>196</v>
      </c>
      <c r="Q250" s="3">
        <v>225</v>
      </c>
      <c r="R250" s="3">
        <v>256</v>
      </c>
      <c r="S250" s="3">
        <v>289</v>
      </c>
      <c r="T250" s="3">
        <v>324</v>
      </c>
      <c r="U250" s="3">
        <v>361</v>
      </c>
      <c r="V250" s="3">
        <v>400</v>
      </c>
      <c r="W250" s="3">
        <v>441</v>
      </c>
      <c r="X250" s="3">
        <v>484</v>
      </c>
      <c r="Y250" s="3">
        <v>529</v>
      </c>
      <c r="Z250" s="3">
        <v>576</v>
      </c>
      <c r="AA250" s="7">
        <v>4900</v>
      </c>
      <c r="AB250" s="1">
        <v>117600</v>
      </c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 ht="21" customHeight="1" x14ac:dyDescent="0.3">
      <c r="A251" s="2"/>
      <c r="B251" s="2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7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 ht="21" customHeight="1" x14ac:dyDescent="0.3">
      <c r="A252" s="2"/>
      <c r="B252" s="2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7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 ht="21" customHeight="1" x14ac:dyDescent="0.3">
      <c r="A253" s="2"/>
      <c r="B253" s="2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7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 ht="21" customHeight="1" x14ac:dyDescent="0.3">
      <c r="A254" s="2"/>
      <c r="B254" s="2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7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 ht="21" customHeight="1" x14ac:dyDescent="0.3">
      <c r="A255" s="2" t="s">
        <v>39</v>
      </c>
      <c r="B255" s="2" t="s">
        <v>92</v>
      </c>
      <c r="C255" s="3">
        <v>201.5185185185185</v>
      </c>
      <c r="D255" s="3">
        <v>183.88888888888889</v>
      </c>
      <c r="E255" s="3">
        <v>164.66666666666666</v>
      </c>
      <c r="F255" s="3">
        <v>256</v>
      </c>
      <c r="G255" s="3">
        <v>131</v>
      </c>
      <c r="H255" s="3">
        <v>107</v>
      </c>
      <c r="I255" s="3">
        <v>530</v>
      </c>
      <c r="J255" s="3">
        <v>307</v>
      </c>
      <c r="K255" s="3">
        <v>291</v>
      </c>
      <c r="L255" s="3">
        <v>621</v>
      </c>
      <c r="M255" s="3">
        <v>322</v>
      </c>
      <c r="N255" s="3">
        <v>431</v>
      </c>
      <c r="O255" s="3">
        <v>342</v>
      </c>
      <c r="P255" s="3">
        <v>509</v>
      </c>
      <c r="Q255" s="3">
        <v>469</v>
      </c>
      <c r="R255" s="3">
        <v>610</v>
      </c>
      <c r="S255" s="3">
        <v>541</v>
      </c>
      <c r="T255" s="3">
        <v>977</v>
      </c>
      <c r="U255" s="3">
        <v>449</v>
      </c>
      <c r="V255" s="3">
        <v>434</v>
      </c>
      <c r="W255" s="3">
        <v>892</v>
      </c>
      <c r="X255" s="3">
        <v>821</v>
      </c>
      <c r="Y255" s="3">
        <v>406</v>
      </c>
      <c r="Z255" s="3">
        <v>644</v>
      </c>
      <c r="AA255" s="7">
        <v>10640.074074074073</v>
      </c>
      <c r="AB255" s="1">
        <v>3192022.222222222</v>
      </c>
      <c r="AC255" s="1">
        <v>371.25063473928077</v>
      </c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 ht="21" customHeight="1" x14ac:dyDescent="0.3">
      <c r="A256" s="2"/>
      <c r="B256" s="2"/>
      <c r="C256" s="3">
        <v>201.5185185185185</v>
      </c>
      <c r="D256" s="3">
        <v>367.77777777777777</v>
      </c>
      <c r="E256" s="3">
        <v>494</v>
      </c>
      <c r="F256" s="3">
        <v>1024</v>
      </c>
      <c r="G256" s="3">
        <v>655</v>
      </c>
      <c r="H256" s="3">
        <v>642</v>
      </c>
      <c r="I256" s="3">
        <v>3710</v>
      </c>
      <c r="J256" s="3">
        <v>2456</v>
      </c>
      <c r="K256" s="3">
        <v>2619</v>
      </c>
      <c r="L256" s="3">
        <v>6210</v>
      </c>
      <c r="M256" s="3">
        <v>3542</v>
      </c>
      <c r="N256" s="3">
        <v>5172</v>
      </c>
      <c r="O256" s="3">
        <v>4446</v>
      </c>
      <c r="P256" s="3">
        <v>7126</v>
      </c>
      <c r="Q256" s="3">
        <v>7035</v>
      </c>
      <c r="R256" s="3">
        <v>9760</v>
      </c>
      <c r="S256" s="3">
        <v>9197</v>
      </c>
      <c r="T256" s="3">
        <v>17586</v>
      </c>
      <c r="U256" s="3">
        <v>8531</v>
      </c>
      <c r="V256" s="3">
        <v>8680</v>
      </c>
      <c r="W256" s="3">
        <v>18732</v>
      </c>
      <c r="X256" s="3">
        <v>18062</v>
      </c>
      <c r="Y256" s="3">
        <v>9338</v>
      </c>
      <c r="Z256" s="3">
        <v>15456</v>
      </c>
      <c r="AA256" s="7">
        <v>161042.29629629629</v>
      </c>
      <c r="AB256" s="1">
        <v>3865015.111111111</v>
      </c>
      <c r="AC256" s="1">
        <v>5.7668628011044474</v>
      </c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 ht="21" customHeight="1" x14ac:dyDescent="0.3">
      <c r="A257" s="2"/>
      <c r="B257" s="2"/>
      <c r="C257" s="3">
        <v>1</v>
      </c>
      <c r="D257" s="3">
        <v>4</v>
      </c>
      <c r="E257" s="3">
        <v>9</v>
      </c>
      <c r="F257" s="3">
        <v>16</v>
      </c>
      <c r="G257" s="3">
        <v>25</v>
      </c>
      <c r="H257" s="3">
        <v>36</v>
      </c>
      <c r="I257" s="3">
        <v>49</v>
      </c>
      <c r="J257" s="3">
        <v>64</v>
      </c>
      <c r="K257" s="3">
        <v>81</v>
      </c>
      <c r="L257" s="3">
        <v>100</v>
      </c>
      <c r="M257" s="3">
        <v>121</v>
      </c>
      <c r="N257" s="3">
        <v>144</v>
      </c>
      <c r="O257" s="3">
        <v>169</v>
      </c>
      <c r="P257" s="3">
        <v>196</v>
      </c>
      <c r="Q257" s="3">
        <v>225</v>
      </c>
      <c r="R257" s="3">
        <v>256</v>
      </c>
      <c r="S257" s="3">
        <v>289</v>
      </c>
      <c r="T257" s="3">
        <v>324</v>
      </c>
      <c r="U257" s="3">
        <v>361</v>
      </c>
      <c r="V257" s="3">
        <v>400</v>
      </c>
      <c r="W257" s="3">
        <v>441</v>
      </c>
      <c r="X257" s="3">
        <v>484</v>
      </c>
      <c r="Y257" s="3">
        <v>529</v>
      </c>
      <c r="Z257" s="3">
        <v>576</v>
      </c>
      <c r="AA257" s="7">
        <v>4900</v>
      </c>
      <c r="AB257" s="1">
        <v>117600</v>
      </c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 ht="21" customHeight="1" x14ac:dyDescent="0.3">
      <c r="A258" s="2"/>
      <c r="B258" s="2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7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 ht="21" customHeight="1" x14ac:dyDescent="0.3">
      <c r="A259" s="2"/>
      <c r="B259" s="2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7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 ht="21" customHeight="1" x14ac:dyDescent="0.3">
      <c r="A260" s="2"/>
      <c r="B260" s="2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7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 ht="21" customHeight="1" x14ac:dyDescent="0.3">
      <c r="A261" s="2"/>
      <c r="B261" s="2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7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 ht="21" customHeight="1" x14ac:dyDescent="0.3">
      <c r="A262" s="2" t="s">
        <v>40</v>
      </c>
      <c r="B262" s="2" t="s">
        <v>93</v>
      </c>
      <c r="C262" s="3">
        <v>603.08641975308649</v>
      </c>
      <c r="D262" s="3">
        <v>584.81481481481489</v>
      </c>
      <c r="E262" s="3">
        <v>538.1111111111112</v>
      </c>
      <c r="F262" s="3">
        <v>686.33333333333337</v>
      </c>
      <c r="G262" s="3">
        <v>530</v>
      </c>
      <c r="H262" s="3">
        <v>398</v>
      </c>
      <c r="I262" s="3">
        <v>1131</v>
      </c>
      <c r="J262" s="3">
        <v>1256</v>
      </c>
      <c r="K262" s="3">
        <v>1107</v>
      </c>
      <c r="L262" s="3">
        <v>1355</v>
      </c>
      <c r="M262" s="3">
        <v>1154</v>
      </c>
      <c r="N262" s="3">
        <v>955</v>
      </c>
      <c r="O262" s="3">
        <v>876</v>
      </c>
      <c r="P262" s="3">
        <v>1186</v>
      </c>
      <c r="Q262" s="3">
        <v>1085</v>
      </c>
      <c r="R262" s="3">
        <v>1435</v>
      </c>
      <c r="S262" s="3">
        <v>949</v>
      </c>
      <c r="T262" s="3">
        <v>1813</v>
      </c>
      <c r="U262" s="3">
        <v>1107</v>
      </c>
      <c r="V262" s="3">
        <v>1146</v>
      </c>
      <c r="W262" s="3">
        <v>1690</v>
      </c>
      <c r="X262" s="3">
        <v>1506</v>
      </c>
      <c r="Y262" s="3">
        <v>1143</v>
      </c>
      <c r="Z262" s="3">
        <v>1828</v>
      </c>
      <c r="AA262" s="7">
        <v>26062.345679012345</v>
      </c>
      <c r="AB262" s="1">
        <v>7818703.7037037034</v>
      </c>
      <c r="AC262" s="1">
        <v>958.03116834343621</v>
      </c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 ht="21" customHeight="1" x14ac:dyDescent="0.3">
      <c r="A263" s="2"/>
      <c r="B263" s="2"/>
      <c r="C263" s="3">
        <v>603.08641975308649</v>
      </c>
      <c r="D263" s="3">
        <v>1169.6296296296298</v>
      </c>
      <c r="E263" s="3">
        <v>1614.3333333333335</v>
      </c>
      <c r="F263" s="3">
        <v>2745.3333333333335</v>
      </c>
      <c r="G263" s="3">
        <v>2650</v>
      </c>
      <c r="H263" s="3">
        <v>2388</v>
      </c>
      <c r="I263" s="3">
        <v>7917</v>
      </c>
      <c r="J263" s="3">
        <v>10048</v>
      </c>
      <c r="K263" s="3">
        <v>9963</v>
      </c>
      <c r="L263" s="3">
        <v>13550</v>
      </c>
      <c r="M263" s="3">
        <v>12694</v>
      </c>
      <c r="N263" s="3">
        <v>11460</v>
      </c>
      <c r="O263" s="3">
        <v>11388</v>
      </c>
      <c r="P263" s="3">
        <v>16604</v>
      </c>
      <c r="Q263" s="3">
        <v>16275</v>
      </c>
      <c r="R263" s="3">
        <v>22960</v>
      </c>
      <c r="S263" s="3">
        <v>16133</v>
      </c>
      <c r="T263" s="3">
        <v>32634</v>
      </c>
      <c r="U263" s="3">
        <v>21033</v>
      </c>
      <c r="V263" s="3">
        <v>22920</v>
      </c>
      <c r="W263" s="3">
        <v>35490</v>
      </c>
      <c r="X263" s="3">
        <v>33132</v>
      </c>
      <c r="Y263" s="3">
        <v>26289</v>
      </c>
      <c r="Z263" s="3">
        <v>43872</v>
      </c>
      <c r="AA263" s="7">
        <v>375532.38271604938</v>
      </c>
      <c r="AB263" s="1">
        <v>9012777.1851851847</v>
      </c>
      <c r="AC263" s="1">
        <v>10.231992129232916</v>
      </c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 ht="21" customHeight="1" x14ac:dyDescent="0.3">
      <c r="A264" s="2"/>
      <c r="B264" s="2"/>
      <c r="C264" s="3">
        <v>1</v>
      </c>
      <c r="D264" s="3">
        <v>4</v>
      </c>
      <c r="E264" s="3">
        <v>9</v>
      </c>
      <c r="F264" s="3">
        <v>16</v>
      </c>
      <c r="G264" s="3">
        <v>25</v>
      </c>
      <c r="H264" s="3">
        <v>36</v>
      </c>
      <c r="I264" s="3">
        <v>49</v>
      </c>
      <c r="J264" s="3">
        <v>64</v>
      </c>
      <c r="K264" s="3">
        <v>81</v>
      </c>
      <c r="L264" s="3">
        <v>100</v>
      </c>
      <c r="M264" s="3">
        <v>121</v>
      </c>
      <c r="N264" s="3">
        <v>144</v>
      </c>
      <c r="O264" s="3">
        <v>169</v>
      </c>
      <c r="P264" s="3">
        <v>196</v>
      </c>
      <c r="Q264" s="3">
        <v>225</v>
      </c>
      <c r="R264" s="3">
        <v>256</v>
      </c>
      <c r="S264" s="3">
        <v>289</v>
      </c>
      <c r="T264" s="3">
        <v>324</v>
      </c>
      <c r="U264" s="3">
        <v>361</v>
      </c>
      <c r="V264" s="3">
        <v>400</v>
      </c>
      <c r="W264" s="3">
        <v>441</v>
      </c>
      <c r="X264" s="3">
        <v>484</v>
      </c>
      <c r="Y264" s="3">
        <v>529</v>
      </c>
      <c r="Z264" s="3">
        <v>576</v>
      </c>
      <c r="AA264" s="7">
        <v>4900</v>
      </c>
      <c r="AB264" s="1">
        <v>117600</v>
      </c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 ht="21" customHeight="1" x14ac:dyDescent="0.3">
      <c r="A265" s="2"/>
      <c r="B265" s="2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7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 ht="21" customHeight="1" x14ac:dyDescent="0.3">
      <c r="A266" s="2"/>
      <c r="B266" s="2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7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 ht="21" customHeight="1" x14ac:dyDescent="0.3">
      <c r="A267" s="2"/>
      <c r="B267" s="2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7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 ht="21" customHeight="1" x14ac:dyDescent="0.3">
      <c r="A268" s="2"/>
      <c r="B268" s="2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7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 ht="21" customHeight="1" x14ac:dyDescent="0.3">
      <c r="A269" s="2" t="s">
        <v>41</v>
      </c>
      <c r="B269" s="2" t="s">
        <v>94</v>
      </c>
      <c r="C269" s="3">
        <v>540.83950617283938</v>
      </c>
      <c r="D269" s="3">
        <v>496.62962962962956</v>
      </c>
      <c r="E269" s="3">
        <v>462.22222222222217</v>
      </c>
      <c r="F269" s="3">
        <v>663.66666666666663</v>
      </c>
      <c r="G269" s="3">
        <v>364</v>
      </c>
      <c r="H269" s="3">
        <v>359</v>
      </c>
      <c r="I269" s="3">
        <v>1268</v>
      </c>
      <c r="J269" s="3">
        <v>820</v>
      </c>
      <c r="K269" s="3">
        <v>870</v>
      </c>
      <c r="L269" s="3">
        <v>998</v>
      </c>
      <c r="M269" s="3">
        <v>2017</v>
      </c>
      <c r="N269" s="3">
        <v>1073</v>
      </c>
      <c r="O269" s="3">
        <v>730</v>
      </c>
      <c r="P269" s="3">
        <v>2190</v>
      </c>
      <c r="Q269" s="3">
        <v>808</v>
      </c>
      <c r="R269" s="3">
        <v>1244</v>
      </c>
      <c r="S269" s="3">
        <v>1217</v>
      </c>
      <c r="T269" s="3">
        <v>1174</v>
      </c>
      <c r="U269" s="3">
        <v>939</v>
      </c>
      <c r="V269" s="3">
        <v>2746</v>
      </c>
      <c r="W269" s="3">
        <v>870</v>
      </c>
      <c r="X269" s="3">
        <v>2591</v>
      </c>
      <c r="Y269" s="3">
        <v>1732</v>
      </c>
      <c r="Z269" s="3">
        <v>1451</v>
      </c>
      <c r="AA269" s="7">
        <v>27624.358024691355</v>
      </c>
      <c r="AB269" s="1">
        <v>8287307.4074074067</v>
      </c>
      <c r="AC269" s="1">
        <v>973.01502877484711</v>
      </c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 ht="21" customHeight="1" x14ac:dyDescent="0.3">
      <c r="A270" s="2"/>
      <c r="B270" s="2"/>
      <c r="C270" s="3">
        <v>540.83950617283938</v>
      </c>
      <c r="D270" s="3">
        <v>993.25925925925912</v>
      </c>
      <c r="E270" s="3">
        <v>1386.6666666666665</v>
      </c>
      <c r="F270" s="3">
        <v>2654.6666666666665</v>
      </c>
      <c r="G270" s="3">
        <v>1820</v>
      </c>
      <c r="H270" s="3">
        <v>2154</v>
      </c>
      <c r="I270" s="3">
        <v>8876</v>
      </c>
      <c r="J270" s="3">
        <v>6560</v>
      </c>
      <c r="K270" s="3">
        <v>7830</v>
      </c>
      <c r="L270" s="3">
        <v>9980</v>
      </c>
      <c r="M270" s="3">
        <v>22187</v>
      </c>
      <c r="N270" s="3">
        <v>12876</v>
      </c>
      <c r="O270" s="3">
        <v>9490</v>
      </c>
      <c r="P270" s="3">
        <v>30660</v>
      </c>
      <c r="Q270" s="3">
        <v>12120</v>
      </c>
      <c r="R270" s="3">
        <v>19904</v>
      </c>
      <c r="S270" s="3">
        <v>20689</v>
      </c>
      <c r="T270" s="3">
        <v>21132</v>
      </c>
      <c r="U270" s="3">
        <v>17841</v>
      </c>
      <c r="V270" s="3">
        <v>54920</v>
      </c>
      <c r="W270" s="3">
        <v>18270</v>
      </c>
      <c r="X270" s="3">
        <v>57002</v>
      </c>
      <c r="Y270" s="3">
        <v>39836</v>
      </c>
      <c r="Z270" s="3">
        <v>34824</v>
      </c>
      <c r="AA270" s="7">
        <v>414546.43209876545</v>
      </c>
      <c r="AB270" s="1">
        <v>9949114.3703703713</v>
      </c>
      <c r="AC270" s="1">
        <v>14.239991113650081</v>
      </c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 ht="21" customHeight="1" x14ac:dyDescent="0.3">
      <c r="A271" s="2"/>
      <c r="B271" s="2"/>
      <c r="C271" s="3">
        <v>1</v>
      </c>
      <c r="D271" s="3">
        <v>4</v>
      </c>
      <c r="E271" s="3">
        <v>9</v>
      </c>
      <c r="F271" s="3">
        <v>16</v>
      </c>
      <c r="G271" s="3">
        <v>25</v>
      </c>
      <c r="H271" s="3">
        <v>36</v>
      </c>
      <c r="I271" s="3">
        <v>49</v>
      </c>
      <c r="J271" s="3">
        <v>64</v>
      </c>
      <c r="K271" s="3">
        <v>81</v>
      </c>
      <c r="L271" s="3">
        <v>100</v>
      </c>
      <c r="M271" s="3">
        <v>121</v>
      </c>
      <c r="N271" s="3">
        <v>144</v>
      </c>
      <c r="O271" s="3">
        <v>169</v>
      </c>
      <c r="P271" s="3">
        <v>196</v>
      </c>
      <c r="Q271" s="3">
        <v>225</v>
      </c>
      <c r="R271" s="3">
        <v>256</v>
      </c>
      <c r="S271" s="3">
        <v>289</v>
      </c>
      <c r="T271" s="3">
        <v>324</v>
      </c>
      <c r="U271" s="3">
        <v>361</v>
      </c>
      <c r="V271" s="3">
        <v>400</v>
      </c>
      <c r="W271" s="3">
        <v>441</v>
      </c>
      <c r="X271" s="3">
        <v>484</v>
      </c>
      <c r="Y271" s="3">
        <v>529</v>
      </c>
      <c r="Z271" s="3">
        <v>576</v>
      </c>
      <c r="AA271" s="7">
        <v>4900</v>
      </c>
      <c r="AB271" s="1">
        <v>117600</v>
      </c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 ht="21" customHeight="1" x14ac:dyDescent="0.3">
      <c r="A272" s="2"/>
      <c r="B272" s="2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7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 ht="21" customHeight="1" x14ac:dyDescent="0.3">
      <c r="A273" s="2"/>
      <c r="B273" s="2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7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 ht="21" customHeight="1" x14ac:dyDescent="0.3">
      <c r="A274" s="2"/>
      <c r="B274" s="2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7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 ht="21" customHeight="1" x14ac:dyDescent="0.3">
      <c r="A275" s="2"/>
      <c r="B275" s="2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7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 ht="21" customHeight="1" x14ac:dyDescent="0.3">
      <c r="A276" s="2" t="s">
        <v>42</v>
      </c>
      <c r="B276" s="2" t="s">
        <v>95</v>
      </c>
      <c r="C276" s="3">
        <v>77.493827160493822</v>
      </c>
      <c r="D276" s="3">
        <v>71.370370370370367</v>
      </c>
      <c r="E276" s="3">
        <v>68.777777777777771</v>
      </c>
      <c r="F276" s="3">
        <v>92.333333333333329</v>
      </c>
      <c r="G276" s="3">
        <v>53</v>
      </c>
      <c r="H276" s="3">
        <v>61</v>
      </c>
      <c r="I276" s="3">
        <v>163</v>
      </c>
      <c r="J276" s="3">
        <v>167</v>
      </c>
      <c r="K276" s="3">
        <v>103</v>
      </c>
      <c r="L276" s="3">
        <v>186</v>
      </c>
      <c r="M276" s="3">
        <v>87</v>
      </c>
      <c r="N276" s="3">
        <v>224</v>
      </c>
      <c r="O276" s="3">
        <v>127</v>
      </c>
      <c r="P276" s="3">
        <v>183</v>
      </c>
      <c r="Q276" s="3">
        <v>88</v>
      </c>
      <c r="R276" s="3">
        <v>257</v>
      </c>
      <c r="S276" s="3">
        <v>286</v>
      </c>
      <c r="T276" s="3">
        <v>211</v>
      </c>
      <c r="U276" s="3">
        <v>209</v>
      </c>
      <c r="V276" s="3">
        <v>313</v>
      </c>
      <c r="W276" s="3">
        <v>190</v>
      </c>
      <c r="X276" s="3">
        <v>165</v>
      </c>
      <c r="Y276" s="3">
        <v>276</v>
      </c>
      <c r="Z276" s="3">
        <v>389</v>
      </c>
      <c r="AA276" s="7">
        <v>4047.9753086419751</v>
      </c>
      <c r="AB276" s="1">
        <v>1214392.5925925926</v>
      </c>
      <c r="AC276" s="1">
        <v>138.90674357590953</v>
      </c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 ht="21" customHeight="1" x14ac:dyDescent="0.3">
      <c r="A277" s="2"/>
      <c r="B277" s="2"/>
      <c r="C277" s="3">
        <v>77.493827160493822</v>
      </c>
      <c r="D277" s="3">
        <v>142.74074074074073</v>
      </c>
      <c r="E277" s="3">
        <v>206.33333333333331</v>
      </c>
      <c r="F277" s="3">
        <v>369.33333333333331</v>
      </c>
      <c r="G277" s="3">
        <v>265</v>
      </c>
      <c r="H277" s="3">
        <v>366</v>
      </c>
      <c r="I277" s="3">
        <v>1141</v>
      </c>
      <c r="J277" s="3">
        <v>1336</v>
      </c>
      <c r="K277" s="3">
        <v>927</v>
      </c>
      <c r="L277" s="3">
        <v>1860</v>
      </c>
      <c r="M277" s="3">
        <v>957</v>
      </c>
      <c r="N277" s="3">
        <v>2688</v>
      </c>
      <c r="O277" s="3">
        <v>1651</v>
      </c>
      <c r="P277" s="3">
        <v>2562</v>
      </c>
      <c r="Q277" s="3">
        <v>1320</v>
      </c>
      <c r="R277" s="3">
        <v>4112</v>
      </c>
      <c r="S277" s="3">
        <v>4862</v>
      </c>
      <c r="T277" s="3">
        <v>3798</v>
      </c>
      <c r="U277" s="3">
        <v>3971</v>
      </c>
      <c r="V277" s="3">
        <v>6260</v>
      </c>
      <c r="W277" s="3">
        <v>3990</v>
      </c>
      <c r="X277" s="3">
        <v>3630</v>
      </c>
      <c r="Y277" s="3">
        <v>6348</v>
      </c>
      <c r="Z277" s="3">
        <v>9336</v>
      </c>
      <c r="AA277" s="7">
        <v>62175.9012345679</v>
      </c>
      <c r="AB277" s="1">
        <v>1492221.6296296297</v>
      </c>
      <c r="AC277" s="1">
        <v>2.3807115427338226</v>
      </c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 ht="21" customHeight="1" x14ac:dyDescent="0.3">
      <c r="A278" s="2"/>
      <c r="B278" s="2"/>
      <c r="C278" s="3">
        <v>1</v>
      </c>
      <c r="D278" s="3">
        <v>4</v>
      </c>
      <c r="E278" s="3">
        <v>9</v>
      </c>
      <c r="F278" s="3">
        <v>16</v>
      </c>
      <c r="G278" s="3">
        <v>25</v>
      </c>
      <c r="H278" s="3">
        <v>36</v>
      </c>
      <c r="I278" s="3">
        <v>49</v>
      </c>
      <c r="J278" s="3">
        <v>64</v>
      </c>
      <c r="K278" s="3">
        <v>81</v>
      </c>
      <c r="L278" s="3">
        <v>100</v>
      </c>
      <c r="M278" s="3">
        <v>121</v>
      </c>
      <c r="N278" s="3">
        <v>144</v>
      </c>
      <c r="O278" s="3">
        <v>169</v>
      </c>
      <c r="P278" s="3">
        <v>196</v>
      </c>
      <c r="Q278" s="3">
        <v>225</v>
      </c>
      <c r="R278" s="3">
        <v>256</v>
      </c>
      <c r="S278" s="3">
        <v>289</v>
      </c>
      <c r="T278" s="3">
        <v>324</v>
      </c>
      <c r="U278" s="3">
        <v>361</v>
      </c>
      <c r="V278" s="3">
        <v>400</v>
      </c>
      <c r="W278" s="3">
        <v>441</v>
      </c>
      <c r="X278" s="3">
        <v>484</v>
      </c>
      <c r="Y278" s="3">
        <v>529</v>
      </c>
      <c r="Z278" s="3">
        <v>576</v>
      </c>
      <c r="AA278" s="7">
        <v>4900</v>
      </c>
      <c r="AB278" s="1">
        <v>117600</v>
      </c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 ht="21" customHeight="1" x14ac:dyDescent="0.3">
      <c r="A279" s="2"/>
      <c r="B279" s="2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7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 ht="21" customHeight="1" x14ac:dyDescent="0.3">
      <c r="A280" s="2"/>
      <c r="B280" s="2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7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 ht="21" customHeight="1" x14ac:dyDescent="0.3">
      <c r="A281" s="2"/>
      <c r="B281" s="2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7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 ht="21" customHeight="1" x14ac:dyDescent="0.3">
      <c r="A282" s="2"/>
      <c r="B282" s="2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7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 ht="21" customHeight="1" x14ac:dyDescent="0.3">
      <c r="A283" s="2" t="s">
        <v>43</v>
      </c>
      <c r="B283" s="2" t="s">
        <v>96</v>
      </c>
      <c r="C283" s="3">
        <v>119.8641975308642</v>
      </c>
      <c r="D283" s="3">
        <v>113.14814814814815</v>
      </c>
      <c r="E283" s="3">
        <v>111.11111111111113</v>
      </c>
      <c r="F283" s="3">
        <v>135.33333333333334</v>
      </c>
      <c r="G283" s="3">
        <v>93</v>
      </c>
      <c r="H283" s="3">
        <v>105</v>
      </c>
      <c r="I283" s="3">
        <v>208</v>
      </c>
      <c r="J283" s="3">
        <v>204</v>
      </c>
      <c r="K283" s="3">
        <v>171</v>
      </c>
      <c r="L283" s="3">
        <v>260</v>
      </c>
      <c r="M283" s="3">
        <v>129</v>
      </c>
      <c r="N283" s="3">
        <v>148</v>
      </c>
      <c r="O283" s="3">
        <v>213</v>
      </c>
      <c r="P283" s="3">
        <v>165</v>
      </c>
      <c r="Q283" s="3">
        <v>167</v>
      </c>
      <c r="R283" s="3">
        <v>272</v>
      </c>
      <c r="S283" s="3">
        <v>245</v>
      </c>
      <c r="T283" s="3">
        <v>282</v>
      </c>
      <c r="U283" s="3">
        <v>220</v>
      </c>
      <c r="V283" s="3">
        <v>194</v>
      </c>
      <c r="W283" s="3">
        <v>476</v>
      </c>
      <c r="X283" s="3">
        <v>241</v>
      </c>
      <c r="Y283" s="3">
        <v>172</v>
      </c>
      <c r="Z283" s="3">
        <v>469</v>
      </c>
      <c r="AA283" s="7">
        <v>4913.4567901234568</v>
      </c>
      <c r="AB283" s="1">
        <v>1474037.0370370371</v>
      </c>
      <c r="AC283" s="1">
        <v>176.27847863573371</v>
      </c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 ht="21" customHeight="1" x14ac:dyDescent="0.3">
      <c r="A284" s="2"/>
      <c r="B284" s="2"/>
      <c r="C284" s="3">
        <v>119.8641975308642</v>
      </c>
      <c r="D284" s="3">
        <v>226.2962962962963</v>
      </c>
      <c r="E284" s="3">
        <v>333.33333333333337</v>
      </c>
      <c r="F284" s="3">
        <v>541.33333333333337</v>
      </c>
      <c r="G284" s="3">
        <v>465</v>
      </c>
      <c r="H284" s="3">
        <v>630</v>
      </c>
      <c r="I284" s="3">
        <v>1456</v>
      </c>
      <c r="J284" s="3">
        <v>1632</v>
      </c>
      <c r="K284" s="3">
        <v>1539</v>
      </c>
      <c r="L284" s="3">
        <v>2600</v>
      </c>
      <c r="M284" s="3">
        <v>1419</v>
      </c>
      <c r="N284" s="3">
        <v>1776</v>
      </c>
      <c r="O284" s="3">
        <v>2769</v>
      </c>
      <c r="P284" s="3">
        <v>2310</v>
      </c>
      <c r="Q284" s="3">
        <v>2505</v>
      </c>
      <c r="R284" s="3">
        <v>4352</v>
      </c>
      <c r="S284" s="3">
        <v>4165</v>
      </c>
      <c r="T284" s="3">
        <v>5076</v>
      </c>
      <c r="U284" s="3">
        <v>4180</v>
      </c>
      <c r="V284" s="3">
        <v>3880</v>
      </c>
      <c r="W284" s="3">
        <v>9996</v>
      </c>
      <c r="X284" s="3">
        <v>5302</v>
      </c>
      <c r="Y284" s="3">
        <v>3956</v>
      </c>
      <c r="Z284" s="3">
        <v>11256</v>
      </c>
      <c r="AA284" s="7">
        <v>72484.82716049382</v>
      </c>
      <c r="AB284" s="1">
        <v>1739635.8518518517</v>
      </c>
      <c r="AC284" s="1">
        <v>2.2759110095528245</v>
      </c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 ht="21" customHeight="1" x14ac:dyDescent="0.3">
      <c r="A285" s="2"/>
      <c r="B285" s="2"/>
      <c r="C285" s="3">
        <v>1</v>
      </c>
      <c r="D285" s="3">
        <v>4</v>
      </c>
      <c r="E285" s="3">
        <v>9</v>
      </c>
      <c r="F285" s="3">
        <v>16</v>
      </c>
      <c r="G285" s="3">
        <v>25</v>
      </c>
      <c r="H285" s="3">
        <v>36</v>
      </c>
      <c r="I285" s="3">
        <v>49</v>
      </c>
      <c r="J285" s="3">
        <v>64</v>
      </c>
      <c r="K285" s="3">
        <v>81</v>
      </c>
      <c r="L285" s="3">
        <v>100</v>
      </c>
      <c r="M285" s="3">
        <v>121</v>
      </c>
      <c r="N285" s="3">
        <v>144</v>
      </c>
      <c r="O285" s="3">
        <v>169</v>
      </c>
      <c r="P285" s="3">
        <v>196</v>
      </c>
      <c r="Q285" s="3">
        <v>225</v>
      </c>
      <c r="R285" s="3">
        <v>256</v>
      </c>
      <c r="S285" s="3">
        <v>289</v>
      </c>
      <c r="T285" s="3">
        <v>324</v>
      </c>
      <c r="U285" s="3">
        <v>361</v>
      </c>
      <c r="V285" s="3">
        <v>400</v>
      </c>
      <c r="W285" s="3">
        <v>441</v>
      </c>
      <c r="X285" s="3">
        <v>484</v>
      </c>
      <c r="Y285" s="3">
        <v>529</v>
      </c>
      <c r="Z285" s="3">
        <v>576</v>
      </c>
      <c r="AA285" s="7">
        <v>4900</v>
      </c>
      <c r="AB285" s="1">
        <v>117600</v>
      </c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 ht="21" customHeight="1" x14ac:dyDescent="0.3">
      <c r="A286" s="2"/>
      <c r="B286" s="2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7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 ht="21" customHeight="1" x14ac:dyDescent="0.3">
      <c r="A287" s="2"/>
      <c r="B287" s="2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7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 ht="21" customHeight="1" x14ac:dyDescent="0.3">
      <c r="A288" s="2"/>
      <c r="B288" s="2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7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 ht="21" customHeight="1" x14ac:dyDescent="0.3">
      <c r="A289" s="2"/>
      <c r="B289" s="2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7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 ht="21" customHeight="1" x14ac:dyDescent="0.3">
      <c r="A290" s="2" t="s">
        <v>44</v>
      </c>
      <c r="B290" s="2" t="s">
        <v>97</v>
      </c>
      <c r="C290" s="3">
        <v>101.65432098765433</v>
      </c>
      <c r="D290" s="3">
        <v>103.74074074074075</v>
      </c>
      <c r="E290" s="3">
        <v>95.555555555555557</v>
      </c>
      <c r="F290" s="3">
        <v>105.66666666666667</v>
      </c>
      <c r="G290" s="3">
        <v>110</v>
      </c>
      <c r="H290" s="3">
        <v>71</v>
      </c>
      <c r="I290" s="3">
        <v>136</v>
      </c>
      <c r="J290" s="3">
        <v>143</v>
      </c>
      <c r="K290" s="3">
        <v>168</v>
      </c>
      <c r="L290" s="3">
        <v>268</v>
      </c>
      <c r="M290" s="3">
        <v>198</v>
      </c>
      <c r="N290" s="3">
        <v>252</v>
      </c>
      <c r="O290" s="3">
        <v>181</v>
      </c>
      <c r="P290" s="3">
        <v>257</v>
      </c>
      <c r="Q290" s="3">
        <v>206</v>
      </c>
      <c r="R290" s="3">
        <v>225</v>
      </c>
      <c r="S290" s="3">
        <v>202</v>
      </c>
      <c r="T290" s="3">
        <v>155</v>
      </c>
      <c r="U290" s="3">
        <v>231</v>
      </c>
      <c r="V290" s="3">
        <v>248</v>
      </c>
      <c r="W290" s="3">
        <v>171</v>
      </c>
      <c r="X290" s="3">
        <v>105</v>
      </c>
      <c r="Y290" s="3">
        <v>524</v>
      </c>
      <c r="Z290" s="3">
        <v>286</v>
      </c>
      <c r="AA290" s="7">
        <v>4543.6172839506171</v>
      </c>
      <c r="AB290" s="1">
        <v>1363085.1851851852</v>
      </c>
      <c r="AC290" s="1">
        <v>164.32958969394986</v>
      </c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 ht="21" customHeight="1" x14ac:dyDescent="0.3">
      <c r="A291" s="2"/>
      <c r="B291" s="2"/>
      <c r="C291" s="3">
        <v>101.65432098765433</v>
      </c>
      <c r="D291" s="3">
        <v>207.4814814814815</v>
      </c>
      <c r="E291" s="3">
        <v>286.66666666666669</v>
      </c>
      <c r="F291" s="3">
        <v>422.66666666666669</v>
      </c>
      <c r="G291" s="3">
        <v>550</v>
      </c>
      <c r="H291" s="3">
        <v>426</v>
      </c>
      <c r="I291" s="3">
        <v>952</v>
      </c>
      <c r="J291" s="3">
        <v>1144</v>
      </c>
      <c r="K291" s="3">
        <v>1512</v>
      </c>
      <c r="L291" s="3">
        <v>2680</v>
      </c>
      <c r="M291" s="3">
        <v>2178</v>
      </c>
      <c r="N291" s="3">
        <v>3024</v>
      </c>
      <c r="O291" s="3">
        <v>2353</v>
      </c>
      <c r="P291" s="3">
        <v>3598</v>
      </c>
      <c r="Q291" s="3">
        <v>3090</v>
      </c>
      <c r="R291" s="3">
        <v>3600</v>
      </c>
      <c r="S291" s="3">
        <v>3434</v>
      </c>
      <c r="T291" s="3">
        <v>2790</v>
      </c>
      <c r="U291" s="3">
        <v>4389</v>
      </c>
      <c r="V291" s="3">
        <v>4960</v>
      </c>
      <c r="W291" s="3">
        <v>3591</v>
      </c>
      <c r="X291" s="3">
        <v>2310</v>
      </c>
      <c r="Y291" s="3">
        <v>12052</v>
      </c>
      <c r="Z291" s="3">
        <v>6864</v>
      </c>
      <c r="AA291" s="7">
        <v>66515.469135802472</v>
      </c>
      <c r="AB291" s="1">
        <v>1596371.2592592593</v>
      </c>
      <c r="AC291" s="1">
        <v>1.9990237709860683</v>
      </c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 ht="21" customHeight="1" x14ac:dyDescent="0.3">
      <c r="A292" s="2"/>
      <c r="B292" s="2"/>
      <c r="C292" s="3">
        <v>1</v>
      </c>
      <c r="D292" s="3">
        <v>4</v>
      </c>
      <c r="E292" s="3">
        <v>9</v>
      </c>
      <c r="F292" s="3">
        <v>16</v>
      </c>
      <c r="G292" s="3">
        <v>25</v>
      </c>
      <c r="H292" s="3">
        <v>36</v>
      </c>
      <c r="I292" s="3">
        <v>49</v>
      </c>
      <c r="J292" s="3">
        <v>64</v>
      </c>
      <c r="K292" s="3">
        <v>81</v>
      </c>
      <c r="L292" s="3">
        <v>100</v>
      </c>
      <c r="M292" s="3">
        <v>121</v>
      </c>
      <c r="N292" s="3">
        <v>144</v>
      </c>
      <c r="O292" s="3">
        <v>169</v>
      </c>
      <c r="P292" s="3">
        <v>196</v>
      </c>
      <c r="Q292" s="3">
        <v>225</v>
      </c>
      <c r="R292" s="3">
        <v>256</v>
      </c>
      <c r="S292" s="3">
        <v>289</v>
      </c>
      <c r="T292" s="3">
        <v>324</v>
      </c>
      <c r="U292" s="3">
        <v>361</v>
      </c>
      <c r="V292" s="3">
        <v>400</v>
      </c>
      <c r="W292" s="3">
        <v>441</v>
      </c>
      <c r="X292" s="3">
        <v>484</v>
      </c>
      <c r="Y292" s="3">
        <v>529</v>
      </c>
      <c r="Z292" s="3">
        <v>576</v>
      </c>
      <c r="AA292" s="7">
        <v>4900</v>
      </c>
      <c r="AB292" s="1">
        <v>117600</v>
      </c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 ht="21" customHeight="1" x14ac:dyDescent="0.3">
      <c r="A293" s="2"/>
      <c r="B293" s="2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7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 ht="21" customHeight="1" x14ac:dyDescent="0.3">
      <c r="A294" s="2"/>
      <c r="B294" s="2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7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 ht="21" customHeight="1" x14ac:dyDescent="0.3">
      <c r="A295" s="2"/>
      <c r="B295" s="2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7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 ht="21" customHeight="1" x14ac:dyDescent="0.3">
      <c r="A296" s="2"/>
      <c r="B296" s="2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7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 ht="21" customHeight="1" x14ac:dyDescent="0.3">
      <c r="A297" s="2" t="s">
        <v>45</v>
      </c>
      <c r="B297" s="2" t="s">
        <v>98</v>
      </c>
      <c r="C297" s="3">
        <v>35.061728395061728</v>
      </c>
      <c r="D297" s="3">
        <v>35.296296296296291</v>
      </c>
      <c r="E297" s="3">
        <v>30.222222222222218</v>
      </c>
      <c r="F297" s="3">
        <v>39.666666666666664</v>
      </c>
      <c r="G297" s="3">
        <v>36</v>
      </c>
      <c r="H297" s="3">
        <v>15</v>
      </c>
      <c r="I297" s="3">
        <v>68</v>
      </c>
      <c r="J297" s="3">
        <v>57</v>
      </c>
      <c r="K297" s="3">
        <v>80</v>
      </c>
      <c r="L297" s="3">
        <v>93</v>
      </c>
      <c r="M297" s="3">
        <v>93</v>
      </c>
      <c r="N297" s="3">
        <v>117</v>
      </c>
      <c r="O297" s="3">
        <v>74</v>
      </c>
      <c r="P297" s="3">
        <v>115</v>
      </c>
      <c r="Q297" s="3">
        <v>65</v>
      </c>
      <c r="R297" s="3">
        <v>135</v>
      </c>
      <c r="S297" s="3">
        <v>87</v>
      </c>
      <c r="T297" s="3">
        <v>101</v>
      </c>
      <c r="U297" s="3">
        <v>125</v>
      </c>
      <c r="V297" s="3">
        <v>72</v>
      </c>
      <c r="W297" s="3">
        <v>116</v>
      </c>
      <c r="X297" s="3">
        <v>37</v>
      </c>
      <c r="Y297" s="3">
        <v>141</v>
      </c>
      <c r="Z297" s="3">
        <v>76</v>
      </c>
      <c r="AA297" s="7">
        <v>1843.2469135802469</v>
      </c>
      <c r="AB297" s="1">
        <v>552974.07407407404</v>
      </c>
      <c r="AC297" s="1">
        <v>67.214805029250897</v>
      </c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 ht="21" customHeight="1" x14ac:dyDescent="0.3">
      <c r="A298" s="2"/>
      <c r="B298" s="2"/>
      <c r="C298" s="3">
        <v>35.061728395061728</v>
      </c>
      <c r="D298" s="3">
        <v>70.592592592592581</v>
      </c>
      <c r="E298" s="3">
        <v>90.666666666666657</v>
      </c>
      <c r="F298" s="3">
        <v>158.66666666666666</v>
      </c>
      <c r="G298" s="3">
        <v>180</v>
      </c>
      <c r="H298" s="3">
        <v>90</v>
      </c>
      <c r="I298" s="3">
        <v>476</v>
      </c>
      <c r="J298" s="3">
        <v>456</v>
      </c>
      <c r="K298" s="3">
        <v>720</v>
      </c>
      <c r="L298" s="3">
        <v>930</v>
      </c>
      <c r="M298" s="3">
        <v>1023</v>
      </c>
      <c r="N298" s="3">
        <v>1404</v>
      </c>
      <c r="O298" s="3">
        <v>962</v>
      </c>
      <c r="P298" s="3">
        <v>1610</v>
      </c>
      <c r="Q298" s="3">
        <v>975</v>
      </c>
      <c r="R298" s="3">
        <v>2160</v>
      </c>
      <c r="S298" s="3">
        <v>1479</v>
      </c>
      <c r="T298" s="3">
        <v>1818</v>
      </c>
      <c r="U298" s="3">
        <v>2375</v>
      </c>
      <c r="V298" s="3">
        <v>1440</v>
      </c>
      <c r="W298" s="3">
        <v>2436</v>
      </c>
      <c r="X298" s="3">
        <v>814</v>
      </c>
      <c r="Y298" s="3">
        <v>3243</v>
      </c>
      <c r="Z298" s="3">
        <v>1824</v>
      </c>
      <c r="AA298" s="7">
        <v>26769.987654320987</v>
      </c>
      <c r="AB298" s="1">
        <v>642479.70370370371</v>
      </c>
      <c r="AC298" s="1">
        <v>0.7669719762607512</v>
      </c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 ht="21" customHeight="1" x14ac:dyDescent="0.3">
      <c r="A299" s="2"/>
      <c r="B299" s="2"/>
      <c r="C299" s="3">
        <v>1</v>
      </c>
      <c r="D299" s="3">
        <v>4</v>
      </c>
      <c r="E299" s="3">
        <v>9</v>
      </c>
      <c r="F299" s="3">
        <v>16</v>
      </c>
      <c r="G299" s="3">
        <v>25</v>
      </c>
      <c r="H299" s="3">
        <v>36</v>
      </c>
      <c r="I299" s="3">
        <v>49</v>
      </c>
      <c r="J299" s="3">
        <v>64</v>
      </c>
      <c r="K299" s="3">
        <v>81</v>
      </c>
      <c r="L299" s="3">
        <v>100</v>
      </c>
      <c r="M299" s="3">
        <v>121</v>
      </c>
      <c r="N299" s="3">
        <v>144</v>
      </c>
      <c r="O299" s="3">
        <v>169</v>
      </c>
      <c r="P299" s="3">
        <v>196</v>
      </c>
      <c r="Q299" s="3">
        <v>225</v>
      </c>
      <c r="R299" s="3">
        <v>256</v>
      </c>
      <c r="S299" s="3">
        <v>289</v>
      </c>
      <c r="T299" s="3">
        <v>324</v>
      </c>
      <c r="U299" s="3">
        <v>361</v>
      </c>
      <c r="V299" s="3">
        <v>400</v>
      </c>
      <c r="W299" s="3">
        <v>441</v>
      </c>
      <c r="X299" s="3">
        <v>484</v>
      </c>
      <c r="Y299" s="3">
        <v>529</v>
      </c>
      <c r="Z299" s="3">
        <v>576</v>
      </c>
      <c r="AA299" s="7">
        <v>4900</v>
      </c>
      <c r="AB299" s="1">
        <v>117600</v>
      </c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 ht="21" customHeight="1" x14ac:dyDescent="0.3">
      <c r="A300" s="2"/>
      <c r="B300" s="2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7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 ht="21" customHeight="1" x14ac:dyDescent="0.3">
      <c r="A301" s="2"/>
      <c r="B301" s="2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7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 ht="21" customHeight="1" x14ac:dyDescent="0.3">
      <c r="A302" s="2"/>
      <c r="B302" s="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7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 ht="21" customHeight="1" x14ac:dyDescent="0.3">
      <c r="A303" s="2"/>
      <c r="B303" s="2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7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 ht="21" customHeight="1" x14ac:dyDescent="0.3">
      <c r="A304" s="2" t="s">
        <v>46</v>
      </c>
      <c r="B304" s="2" t="s">
        <v>99</v>
      </c>
      <c r="C304" s="3">
        <v>62.098765432098766</v>
      </c>
      <c r="D304" s="3">
        <v>64.07407407407409</v>
      </c>
      <c r="E304" s="3">
        <v>54.555555555555564</v>
      </c>
      <c r="F304" s="3">
        <v>67.666666666666671</v>
      </c>
      <c r="G304" s="3">
        <v>70</v>
      </c>
      <c r="H304" s="3">
        <v>26</v>
      </c>
      <c r="I304" s="3">
        <v>107</v>
      </c>
      <c r="J304" s="3">
        <v>72</v>
      </c>
      <c r="K304" s="3">
        <v>99</v>
      </c>
      <c r="L304" s="3">
        <v>103</v>
      </c>
      <c r="M304" s="3">
        <v>90</v>
      </c>
      <c r="N304" s="3">
        <v>120</v>
      </c>
      <c r="O304" s="3">
        <v>93</v>
      </c>
      <c r="P304" s="3">
        <v>142</v>
      </c>
      <c r="Q304" s="3">
        <v>185</v>
      </c>
      <c r="R304" s="3">
        <v>116</v>
      </c>
      <c r="S304" s="3">
        <v>122</v>
      </c>
      <c r="T304" s="3">
        <v>87</v>
      </c>
      <c r="U304" s="3">
        <v>87</v>
      </c>
      <c r="V304" s="3">
        <v>91</v>
      </c>
      <c r="W304" s="3">
        <v>93</v>
      </c>
      <c r="X304" s="3">
        <v>106</v>
      </c>
      <c r="Y304" s="3">
        <v>117</v>
      </c>
      <c r="Z304" s="3">
        <v>285</v>
      </c>
      <c r="AA304" s="7">
        <v>2459.3950617283954</v>
      </c>
      <c r="AB304" s="1">
        <v>737818.51851851866</v>
      </c>
      <c r="AC304" s="1">
        <v>90.081113068223928</v>
      </c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 ht="21" customHeight="1" x14ac:dyDescent="0.3">
      <c r="A305" s="2"/>
      <c r="B305" s="2"/>
      <c r="C305" s="3">
        <v>62.098765432098766</v>
      </c>
      <c r="D305" s="3">
        <v>128.14814814814818</v>
      </c>
      <c r="E305" s="3">
        <v>163.66666666666669</v>
      </c>
      <c r="F305" s="3">
        <v>270.66666666666669</v>
      </c>
      <c r="G305" s="3">
        <v>350</v>
      </c>
      <c r="H305" s="3">
        <v>156</v>
      </c>
      <c r="I305" s="3">
        <v>749</v>
      </c>
      <c r="J305" s="3">
        <v>576</v>
      </c>
      <c r="K305" s="3">
        <v>891</v>
      </c>
      <c r="L305" s="3">
        <v>1030</v>
      </c>
      <c r="M305" s="3">
        <v>990</v>
      </c>
      <c r="N305" s="3">
        <v>1440</v>
      </c>
      <c r="O305" s="3">
        <v>1209</v>
      </c>
      <c r="P305" s="3">
        <v>1988</v>
      </c>
      <c r="Q305" s="3">
        <v>2775</v>
      </c>
      <c r="R305" s="3">
        <v>1856</v>
      </c>
      <c r="S305" s="3">
        <v>2074</v>
      </c>
      <c r="T305" s="3">
        <v>1566</v>
      </c>
      <c r="U305" s="3">
        <v>1653</v>
      </c>
      <c r="V305" s="3">
        <v>1820</v>
      </c>
      <c r="W305" s="3">
        <v>1953</v>
      </c>
      <c r="X305" s="3">
        <v>2332</v>
      </c>
      <c r="Y305" s="3">
        <v>2691</v>
      </c>
      <c r="Z305" s="3">
        <v>6840</v>
      </c>
      <c r="AA305" s="7">
        <v>35563.580246913582</v>
      </c>
      <c r="AB305" s="1">
        <v>853525.92592592596</v>
      </c>
      <c r="AC305" s="1">
        <v>0.99149449363673781</v>
      </c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 ht="21" customHeight="1" x14ac:dyDescent="0.3">
      <c r="A306" s="2"/>
      <c r="B306" s="2"/>
      <c r="C306" s="3">
        <v>1</v>
      </c>
      <c r="D306" s="3">
        <v>4</v>
      </c>
      <c r="E306" s="3">
        <v>9</v>
      </c>
      <c r="F306" s="3">
        <v>16</v>
      </c>
      <c r="G306" s="3">
        <v>25</v>
      </c>
      <c r="H306" s="3">
        <v>36</v>
      </c>
      <c r="I306" s="3">
        <v>49</v>
      </c>
      <c r="J306" s="3">
        <v>64</v>
      </c>
      <c r="K306" s="3">
        <v>81</v>
      </c>
      <c r="L306" s="3">
        <v>100</v>
      </c>
      <c r="M306" s="3">
        <v>121</v>
      </c>
      <c r="N306" s="3">
        <v>144</v>
      </c>
      <c r="O306" s="3">
        <v>169</v>
      </c>
      <c r="P306" s="3">
        <v>196</v>
      </c>
      <c r="Q306" s="3">
        <v>225</v>
      </c>
      <c r="R306" s="3">
        <v>256</v>
      </c>
      <c r="S306" s="3">
        <v>289</v>
      </c>
      <c r="T306" s="3">
        <v>324</v>
      </c>
      <c r="U306" s="3">
        <v>361</v>
      </c>
      <c r="V306" s="3">
        <v>400</v>
      </c>
      <c r="W306" s="3">
        <v>441</v>
      </c>
      <c r="X306" s="3">
        <v>484</v>
      </c>
      <c r="Y306" s="3">
        <v>529</v>
      </c>
      <c r="Z306" s="3">
        <v>576</v>
      </c>
      <c r="AA306" s="7">
        <v>4900</v>
      </c>
      <c r="AB306" s="1">
        <v>117600</v>
      </c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 ht="21" customHeight="1" x14ac:dyDescent="0.3">
      <c r="A307" s="2"/>
      <c r="B307" s="2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7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 ht="21" customHeight="1" x14ac:dyDescent="0.3">
      <c r="A308" s="2"/>
      <c r="B308" s="2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7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 ht="21" customHeight="1" x14ac:dyDescent="0.3">
      <c r="A309" s="2"/>
      <c r="B309" s="2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7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 ht="21" customHeight="1" x14ac:dyDescent="0.3">
      <c r="A310" s="2"/>
      <c r="B310" s="2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7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 ht="21" customHeight="1" x14ac:dyDescent="0.3">
      <c r="A311" s="2" t="s">
        <v>47</v>
      </c>
      <c r="B311" s="2" t="s">
        <v>100</v>
      </c>
      <c r="C311" s="3">
        <v>323.51851851851853</v>
      </c>
      <c r="D311" s="3">
        <v>328.88888888888891</v>
      </c>
      <c r="E311" s="3">
        <v>285.66666666666669</v>
      </c>
      <c r="F311" s="3">
        <v>356</v>
      </c>
      <c r="G311" s="3">
        <v>345</v>
      </c>
      <c r="H311" s="3">
        <v>156</v>
      </c>
      <c r="I311" s="3">
        <v>567</v>
      </c>
      <c r="J311" s="3">
        <v>453</v>
      </c>
      <c r="K311" s="3">
        <v>325</v>
      </c>
      <c r="L311" s="3">
        <v>1034</v>
      </c>
      <c r="M311" s="3">
        <v>631</v>
      </c>
      <c r="N311" s="3">
        <v>619</v>
      </c>
      <c r="O311" s="3">
        <v>526</v>
      </c>
      <c r="P311" s="3">
        <v>468</v>
      </c>
      <c r="Q311" s="3">
        <v>528</v>
      </c>
      <c r="R311" s="3">
        <v>528</v>
      </c>
      <c r="S311" s="3">
        <v>464</v>
      </c>
      <c r="T311" s="3">
        <v>1179</v>
      </c>
      <c r="U311" s="3">
        <v>547</v>
      </c>
      <c r="V311" s="3">
        <v>348</v>
      </c>
      <c r="W311" s="3">
        <v>537</v>
      </c>
      <c r="X311" s="3">
        <v>925</v>
      </c>
      <c r="Y311" s="3">
        <v>853</v>
      </c>
      <c r="Z311" s="3">
        <v>705</v>
      </c>
      <c r="AA311" s="7">
        <v>13032.074074074073</v>
      </c>
      <c r="AB311" s="1">
        <v>3909622.222222222</v>
      </c>
      <c r="AC311" s="1">
        <v>484.81190294836392</v>
      </c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 ht="21" customHeight="1" x14ac:dyDescent="0.3">
      <c r="A312" s="2"/>
      <c r="B312" s="2"/>
      <c r="C312" s="3">
        <v>323.51851851851853</v>
      </c>
      <c r="D312" s="3">
        <v>657.77777777777783</v>
      </c>
      <c r="E312" s="3">
        <v>857</v>
      </c>
      <c r="F312" s="3">
        <v>1424</v>
      </c>
      <c r="G312" s="3">
        <v>1725</v>
      </c>
      <c r="H312" s="3">
        <v>936</v>
      </c>
      <c r="I312" s="3">
        <v>3969</v>
      </c>
      <c r="J312" s="3">
        <v>3624</v>
      </c>
      <c r="K312" s="3">
        <v>2925</v>
      </c>
      <c r="L312" s="3">
        <v>10340</v>
      </c>
      <c r="M312" s="3">
        <v>6941</v>
      </c>
      <c r="N312" s="3">
        <v>7428</v>
      </c>
      <c r="O312" s="3">
        <v>6838</v>
      </c>
      <c r="P312" s="3">
        <v>6552</v>
      </c>
      <c r="Q312" s="3">
        <v>7920</v>
      </c>
      <c r="R312" s="3">
        <v>8448</v>
      </c>
      <c r="S312" s="3">
        <v>7888</v>
      </c>
      <c r="T312" s="3">
        <v>21222</v>
      </c>
      <c r="U312" s="3">
        <v>10393</v>
      </c>
      <c r="V312" s="3">
        <v>6960</v>
      </c>
      <c r="W312" s="3">
        <v>11277</v>
      </c>
      <c r="X312" s="3">
        <v>20350</v>
      </c>
      <c r="Y312" s="3">
        <v>19619</v>
      </c>
      <c r="Z312" s="3">
        <v>16920</v>
      </c>
      <c r="AA312" s="7">
        <v>185537.29629629629</v>
      </c>
      <c r="AB312" s="1">
        <v>4452895.111111111</v>
      </c>
      <c r="AC312" s="1">
        <v>4.6552946777111313</v>
      </c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 ht="21" customHeight="1" x14ac:dyDescent="0.3">
      <c r="A313" s="2"/>
      <c r="B313" s="2"/>
      <c r="C313" s="3">
        <v>1</v>
      </c>
      <c r="D313" s="3">
        <v>4</v>
      </c>
      <c r="E313" s="3">
        <v>9</v>
      </c>
      <c r="F313" s="3">
        <v>16</v>
      </c>
      <c r="G313" s="3">
        <v>25</v>
      </c>
      <c r="H313" s="3">
        <v>36</v>
      </c>
      <c r="I313" s="3">
        <v>49</v>
      </c>
      <c r="J313" s="3">
        <v>64</v>
      </c>
      <c r="K313" s="3">
        <v>81</v>
      </c>
      <c r="L313" s="3">
        <v>100</v>
      </c>
      <c r="M313" s="3">
        <v>121</v>
      </c>
      <c r="N313" s="3">
        <v>144</v>
      </c>
      <c r="O313" s="3">
        <v>169</v>
      </c>
      <c r="P313" s="3">
        <v>196</v>
      </c>
      <c r="Q313" s="3">
        <v>225</v>
      </c>
      <c r="R313" s="3">
        <v>256</v>
      </c>
      <c r="S313" s="3">
        <v>289</v>
      </c>
      <c r="T313" s="3">
        <v>324</v>
      </c>
      <c r="U313" s="3">
        <v>361</v>
      </c>
      <c r="V313" s="3">
        <v>400</v>
      </c>
      <c r="W313" s="3">
        <v>441</v>
      </c>
      <c r="X313" s="3">
        <v>484</v>
      </c>
      <c r="Y313" s="3">
        <v>529</v>
      </c>
      <c r="Z313" s="3">
        <v>576</v>
      </c>
      <c r="AA313" s="7">
        <v>4900</v>
      </c>
      <c r="AB313" s="1">
        <v>117600</v>
      </c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 ht="21" customHeight="1" x14ac:dyDescent="0.3">
      <c r="A314" s="2"/>
      <c r="B314" s="2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7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 ht="21" customHeight="1" x14ac:dyDescent="0.3">
      <c r="A315" s="2"/>
      <c r="B315" s="2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7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 ht="21" customHeight="1" x14ac:dyDescent="0.3">
      <c r="A316" s="2"/>
      <c r="B316" s="2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7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 ht="21" customHeight="1" x14ac:dyDescent="0.3">
      <c r="A317" s="2"/>
      <c r="B317" s="2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7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 ht="21" customHeight="1" x14ac:dyDescent="0.3">
      <c r="A318" s="2" t="s">
        <v>48</v>
      </c>
      <c r="B318" s="2" t="s">
        <v>101</v>
      </c>
      <c r="C318" s="3">
        <v>173.5185185185185</v>
      </c>
      <c r="D318" s="3">
        <v>163.88888888888889</v>
      </c>
      <c r="E318" s="3">
        <v>160.66666666666666</v>
      </c>
      <c r="F318" s="3">
        <v>196</v>
      </c>
      <c r="G318" s="3">
        <v>135</v>
      </c>
      <c r="H318" s="3">
        <v>151</v>
      </c>
      <c r="I318" s="3">
        <v>302</v>
      </c>
      <c r="J318" s="3">
        <v>239</v>
      </c>
      <c r="K318" s="3">
        <v>200</v>
      </c>
      <c r="L318" s="3">
        <v>465</v>
      </c>
      <c r="M318" s="3">
        <v>398</v>
      </c>
      <c r="N318" s="3">
        <v>343</v>
      </c>
      <c r="O318" s="3">
        <v>269</v>
      </c>
      <c r="P318" s="3">
        <v>334</v>
      </c>
      <c r="Q318" s="3">
        <v>237</v>
      </c>
      <c r="R318" s="3">
        <v>364</v>
      </c>
      <c r="S318" s="3">
        <v>363</v>
      </c>
      <c r="T318" s="3">
        <v>308</v>
      </c>
      <c r="U318" s="3">
        <v>302</v>
      </c>
      <c r="V318" s="3">
        <v>310</v>
      </c>
      <c r="W318" s="3">
        <v>376</v>
      </c>
      <c r="X318" s="3">
        <v>425</v>
      </c>
      <c r="Y318" s="3">
        <v>471</v>
      </c>
      <c r="Z318" s="3">
        <v>764</v>
      </c>
      <c r="AA318" s="7">
        <v>7450.0740740740739</v>
      </c>
      <c r="AB318" s="1">
        <v>2235022.222222222</v>
      </c>
      <c r="AC318" s="1">
        <v>267.20029198006915</v>
      </c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 ht="21" customHeight="1" x14ac:dyDescent="0.3">
      <c r="A319" s="2"/>
      <c r="B319" s="2"/>
      <c r="C319" s="3">
        <v>173.5185185185185</v>
      </c>
      <c r="D319" s="3">
        <v>327.77777777777777</v>
      </c>
      <c r="E319" s="3">
        <v>482</v>
      </c>
      <c r="F319" s="3">
        <v>784</v>
      </c>
      <c r="G319" s="3">
        <v>675</v>
      </c>
      <c r="H319" s="3">
        <v>906</v>
      </c>
      <c r="I319" s="3">
        <v>2114</v>
      </c>
      <c r="J319" s="3">
        <v>1912</v>
      </c>
      <c r="K319" s="3">
        <v>1800</v>
      </c>
      <c r="L319" s="3">
        <v>4650</v>
      </c>
      <c r="M319" s="3">
        <v>4378</v>
      </c>
      <c r="N319" s="3">
        <v>4116</v>
      </c>
      <c r="O319" s="3">
        <v>3497</v>
      </c>
      <c r="P319" s="3">
        <v>4676</v>
      </c>
      <c r="Q319" s="3">
        <v>3555</v>
      </c>
      <c r="R319" s="3">
        <v>5824</v>
      </c>
      <c r="S319" s="3">
        <v>6171</v>
      </c>
      <c r="T319" s="3">
        <v>5544</v>
      </c>
      <c r="U319" s="3">
        <v>5738</v>
      </c>
      <c r="V319" s="3">
        <v>6200</v>
      </c>
      <c r="W319" s="3">
        <v>7896</v>
      </c>
      <c r="X319" s="3">
        <v>9350</v>
      </c>
      <c r="Y319" s="3">
        <v>10833</v>
      </c>
      <c r="Z319" s="3">
        <v>18336</v>
      </c>
      <c r="AA319" s="7">
        <v>109938.29629629629</v>
      </c>
      <c r="AB319" s="1">
        <v>2638519.111111111</v>
      </c>
      <c r="AC319" s="1">
        <v>3.4575568885080461</v>
      </c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 ht="21" customHeight="1" x14ac:dyDescent="0.3">
      <c r="A320" s="2"/>
      <c r="B320" s="2"/>
      <c r="C320" s="3">
        <v>1</v>
      </c>
      <c r="D320" s="3">
        <v>4</v>
      </c>
      <c r="E320" s="3">
        <v>9</v>
      </c>
      <c r="F320" s="3">
        <v>16</v>
      </c>
      <c r="G320" s="3">
        <v>25</v>
      </c>
      <c r="H320" s="3">
        <v>36</v>
      </c>
      <c r="I320" s="3">
        <v>49</v>
      </c>
      <c r="J320" s="3">
        <v>64</v>
      </c>
      <c r="K320" s="3">
        <v>81</v>
      </c>
      <c r="L320" s="3">
        <v>100</v>
      </c>
      <c r="M320" s="3">
        <v>121</v>
      </c>
      <c r="N320" s="3">
        <v>144</v>
      </c>
      <c r="O320" s="3">
        <v>169</v>
      </c>
      <c r="P320" s="3">
        <v>196</v>
      </c>
      <c r="Q320" s="3">
        <v>225</v>
      </c>
      <c r="R320" s="3">
        <v>256</v>
      </c>
      <c r="S320" s="3">
        <v>289</v>
      </c>
      <c r="T320" s="3">
        <v>324</v>
      </c>
      <c r="U320" s="3">
        <v>361</v>
      </c>
      <c r="V320" s="3">
        <v>400</v>
      </c>
      <c r="W320" s="3">
        <v>441</v>
      </c>
      <c r="X320" s="3">
        <v>484</v>
      </c>
      <c r="Y320" s="3">
        <v>529</v>
      </c>
      <c r="Z320" s="3">
        <v>576</v>
      </c>
      <c r="AA320" s="7">
        <v>4900</v>
      </c>
      <c r="AB320" s="1">
        <v>117600</v>
      </c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 ht="21" customHeight="1" x14ac:dyDescent="0.3">
      <c r="A321" s="2"/>
      <c r="B321" s="2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7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 ht="21" customHeight="1" x14ac:dyDescent="0.3">
      <c r="A322" s="2"/>
      <c r="B322" s="2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7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 ht="21" customHeight="1" x14ac:dyDescent="0.3">
      <c r="A323" s="2"/>
      <c r="B323" s="2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7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 ht="21" customHeight="1" x14ac:dyDescent="0.3">
      <c r="A324" s="2"/>
      <c r="B324" s="2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7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 ht="21" customHeight="1" x14ac:dyDescent="0.3">
      <c r="A325" s="2" t="s">
        <v>49</v>
      </c>
      <c r="B325" s="2" t="s">
        <v>102</v>
      </c>
      <c r="C325" s="3">
        <v>55.777777777777779</v>
      </c>
      <c r="D325" s="3">
        <v>56.333333333333336</v>
      </c>
      <c r="E325" s="3">
        <v>53</v>
      </c>
      <c r="F325" s="3">
        <v>58</v>
      </c>
      <c r="G325" s="3">
        <v>58</v>
      </c>
      <c r="H325" s="3">
        <v>43</v>
      </c>
      <c r="I325" s="3">
        <v>73</v>
      </c>
      <c r="J325" s="3">
        <v>102</v>
      </c>
      <c r="K325" s="3">
        <v>82</v>
      </c>
      <c r="L325" s="3">
        <v>101</v>
      </c>
      <c r="M325" s="3">
        <v>105</v>
      </c>
      <c r="N325" s="3">
        <v>74</v>
      </c>
      <c r="O325" s="3">
        <v>57</v>
      </c>
      <c r="P325" s="3">
        <v>103</v>
      </c>
      <c r="Q325" s="3">
        <v>65</v>
      </c>
      <c r="R325" s="3">
        <v>128</v>
      </c>
      <c r="S325" s="3">
        <v>134</v>
      </c>
      <c r="T325" s="3">
        <v>69</v>
      </c>
      <c r="U325" s="3">
        <v>117</v>
      </c>
      <c r="V325" s="3">
        <v>87</v>
      </c>
      <c r="W325" s="3">
        <v>148</v>
      </c>
      <c r="X325" s="3">
        <v>107</v>
      </c>
      <c r="Y325" s="3">
        <v>151</v>
      </c>
      <c r="Z325" s="3">
        <v>136</v>
      </c>
      <c r="AA325" s="7">
        <v>2163.1111111111113</v>
      </c>
      <c r="AB325" s="1">
        <v>648933.33333333337</v>
      </c>
      <c r="AC325" s="1">
        <v>79.655193754165481</v>
      </c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 ht="21" customHeight="1" x14ac:dyDescent="0.3">
      <c r="A326" s="2"/>
      <c r="B326" s="2"/>
      <c r="C326" s="3">
        <v>55.777777777777779</v>
      </c>
      <c r="D326" s="3">
        <v>112.66666666666667</v>
      </c>
      <c r="E326" s="3">
        <v>159</v>
      </c>
      <c r="F326" s="3">
        <v>232</v>
      </c>
      <c r="G326" s="3">
        <v>290</v>
      </c>
      <c r="H326" s="3">
        <v>258</v>
      </c>
      <c r="I326" s="3">
        <v>511</v>
      </c>
      <c r="J326" s="3">
        <v>816</v>
      </c>
      <c r="K326" s="3">
        <v>738</v>
      </c>
      <c r="L326" s="3">
        <v>1010</v>
      </c>
      <c r="M326" s="3">
        <v>1155</v>
      </c>
      <c r="N326" s="3">
        <v>888</v>
      </c>
      <c r="O326" s="3">
        <v>741</v>
      </c>
      <c r="P326" s="3">
        <v>1442</v>
      </c>
      <c r="Q326" s="3">
        <v>975</v>
      </c>
      <c r="R326" s="3">
        <v>2048</v>
      </c>
      <c r="S326" s="3">
        <v>2278</v>
      </c>
      <c r="T326" s="3">
        <v>1242</v>
      </c>
      <c r="U326" s="3">
        <v>2223</v>
      </c>
      <c r="V326" s="3">
        <v>1740</v>
      </c>
      <c r="W326" s="3">
        <v>3108</v>
      </c>
      <c r="X326" s="3">
        <v>2354</v>
      </c>
      <c r="Y326" s="3">
        <v>3473</v>
      </c>
      <c r="Z326" s="3">
        <v>3264</v>
      </c>
      <c r="AA326" s="7">
        <v>31113.444444444445</v>
      </c>
      <c r="AB326" s="1">
        <v>746722.66666666674</v>
      </c>
      <c r="AC326" s="1">
        <v>0.83795487003713254</v>
      </c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 ht="21" customHeight="1" x14ac:dyDescent="0.3">
      <c r="A327" s="2"/>
      <c r="B327" s="2"/>
      <c r="C327" s="3">
        <v>1</v>
      </c>
      <c r="D327" s="3">
        <v>4</v>
      </c>
      <c r="E327" s="3">
        <v>9</v>
      </c>
      <c r="F327" s="3">
        <v>16</v>
      </c>
      <c r="G327" s="3">
        <v>25</v>
      </c>
      <c r="H327" s="3">
        <v>36</v>
      </c>
      <c r="I327" s="3">
        <v>49</v>
      </c>
      <c r="J327" s="3">
        <v>64</v>
      </c>
      <c r="K327" s="3">
        <v>81</v>
      </c>
      <c r="L327" s="3">
        <v>100</v>
      </c>
      <c r="M327" s="3">
        <v>121</v>
      </c>
      <c r="N327" s="3">
        <v>144</v>
      </c>
      <c r="O327" s="3">
        <v>169</v>
      </c>
      <c r="P327" s="3">
        <v>196</v>
      </c>
      <c r="Q327" s="3">
        <v>225</v>
      </c>
      <c r="R327" s="3">
        <v>256</v>
      </c>
      <c r="S327" s="3">
        <v>289</v>
      </c>
      <c r="T327" s="3">
        <v>324</v>
      </c>
      <c r="U327" s="3">
        <v>361</v>
      </c>
      <c r="V327" s="3">
        <v>400</v>
      </c>
      <c r="W327" s="3">
        <v>441</v>
      </c>
      <c r="X327" s="3">
        <v>484</v>
      </c>
      <c r="Y327" s="3">
        <v>529</v>
      </c>
      <c r="Z327" s="3">
        <v>576</v>
      </c>
      <c r="AA327" s="7">
        <v>4900</v>
      </c>
      <c r="AB327" s="1">
        <v>117600</v>
      </c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 ht="21" customHeight="1" x14ac:dyDescent="0.3">
      <c r="A328" s="2"/>
      <c r="B328" s="2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7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 ht="21" customHeight="1" x14ac:dyDescent="0.3">
      <c r="A329" s="2"/>
      <c r="B329" s="2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7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 ht="21" customHeight="1" x14ac:dyDescent="0.3">
      <c r="A330" s="2"/>
      <c r="B330" s="2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7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 ht="21" customHeight="1" x14ac:dyDescent="0.3">
      <c r="A331" s="2"/>
      <c r="B331" s="2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7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 ht="21" customHeight="1" x14ac:dyDescent="0.3">
      <c r="A332" s="2" t="s">
        <v>50</v>
      </c>
      <c r="B332" s="2" t="s">
        <v>103</v>
      </c>
      <c r="C332" s="3">
        <v>99.481481481481467</v>
      </c>
      <c r="D332" s="3">
        <v>97.1111111111111</v>
      </c>
      <c r="E332" s="3">
        <v>87.333333333333329</v>
      </c>
      <c r="F332" s="3">
        <v>114</v>
      </c>
      <c r="G332" s="3">
        <v>90</v>
      </c>
      <c r="H332" s="3">
        <v>58</v>
      </c>
      <c r="I332" s="3">
        <v>194</v>
      </c>
      <c r="J332" s="3">
        <v>148</v>
      </c>
      <c r="K332" s="3">
        <v>130</v>
      </c>
      <c r="L332" s="3">
        <v>479</v>
      </c>
      <c r="M332" s="3">
        <v>244</v>
      </c>
      <c r="N332" s="3">
        <v>273</v>
      </c>
      <c r="O332" s="3">
        <v>193</v>
      </c>
      <c r="P332" s="3">
        <v>228</v>
      </c>
      <c r="Q332" s="3">
        <v>212</v>
      </c>
      <c r="R332" s="3">
        <v>207</v>
      </c>
      <c r="S332" s="3">
        <v>267</v>
      </c>
      <c r="T332" s="3">
        <v>315</v>
      </c>
      <c r="U332" s="3">
        <v>292</v>
      </c>
      <c r="V332" s="3">
        <v>164</v>
      </c>
      <c r="W332" s="3">
        <v>317</v>
      </c>
      <c r="X332" s="3">
        <v>1034</v>
      </c>
      <c r="Y332" s="3">
        <v>430</v>
      </c>
      <c r="Z332" s="3">
        <v>411</v>
      </c>
      <c r="AA332" s="7">
        <v>6083.9259259259261</v>
      </c>
      <c r="AB332" s="1">
        <v>1825177.7777777778</v>
      </c>
      <c r="AC332" s="1">
        <v>200.5107191596052</v>
      </c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 ht="21" customHeight="1" x14ac:dyDescent="0.3">
      <c r="A333" s="2"/>
      <c r="B333" s="2"/>
      <c r="C333" s="3">
        <v>99.481481481481467</v>
      </c>
      <c r="D333" s="3">
        <v>194.2222222222222</v>
      </c>
      <c r="E333" s="3">
        <v>262</v>
      </c>
      <c r="F333" s="3">
        <v>456</v>
      </c>
      <c r="G333" s="3">
        <v>450</v>
      </c>
      <c r="H333" s="3">
        <v>348</v>
      </c>
      <c r="I333" s="3">
        <v>1358</v>
      </c>
      <c r="J333" s="3">
        <v>1184</v>
      </c>
      <c r="K333" s="3">
        <v>1170</v>
      </c>
      <c r="L333" s="3">
        <v>4790</v>
      </c>
      <c r="M333" s="3">
        <v>2684</v>
      </c>
      <c r="N333" s="3">
        <v>3276</v>
      </c>
      <c r="O333" s="3">
        <v>2509</v>
      </c>
      <c r="P333" s="3">
        <v>3192</v>
      </c>
      <c r="Q333" s="3">
        <v>3180</v>
      </c>
      <c r="R333" s="3">
        <v>3312</v>
      </c>
      <c r="S333" s="3">
        <v>4539</v>
      </c>
      <c r="T333" s="3">
        <v>5670</v>
      </c>
      <c r="U333" s="3">
        <v>5548</v>
      </c>
      <c r="V333" s="3">
        <v>3280</v>
      </c>
      <c r="W333" s="3">
        <v>6657</v>
      </c>
      <c r="X333" s="3">
        <v>22748</v>
      </c>
      <c r="Y333" s="3">
        <v>9890</v>
      </c>
      <c r="Z333" s="3">
        <v>9864</v>
      </c>
      <c r="AA333" s="7">
        <v>96660.703703703708</v>
      </c>
      <c r="AB333" s="1">
        <v>2319856.888888889</v>
      </c>
      <c r="AC333" s="1">
        <v>4.2388955536513384</v>
      </c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 ht="21" customHeight="1" x14ac:dyDescent="0.3">
      <c r="A334" s="2"/>
      <c r="B334" s="2"/>
      <c r="C334" s="3">
        <v>1</v>
      </c>
      <c r="D334" s="3">
        <v>4</v>
      </c>
      <c r="E334" s="3">
        <v>9</v>
      </c>
      <c r="F334" s="3">
        <v>16</v>
      </c>
      <c r="G334" s="3">
        <v>25</v>
      </c>
      <c r="H334" s="3">
        <v>36</v>
      </c>
      <c r="I334" s="3">
        <v>49</v>
      </c>
      <c r="J334" s="3">
        <v>64</v>
      </c>
      <c r="K334" s="3">
        <v>81</v>
      </c>
      <c r="L334" s="3">
        <v>100</v>
      </c>
      <c r="M334" s="3">
        <v>121</v>
      </c>
      <c r="N334" s="3">
        <v>144</v>
      </c>
      <c r="O334" s="3">
        <v>169</v>
      </c>
      <c r="P334" s="3">
        <v>196</v>
      </c>
      <c r="Q334" s="3">
        <v>225</v>
      </c>
      <c r="R334" s="3">
        <v>256</v>
      </c>
      <c r="S334" s="3">
        <v>289</v>
      </c>
      <c r="T334" s="3">
        <v>324</v>
      </c>
      <c r="U334" s="3">
        <v>361</v>
      </c>
      <c r="V334" s="3">
        <v>400</v>
      </c>
      <c r="W334" s="3">
        <v>441</v>
      </c>
      <c r="X334" s="3">
        <v>484</v>
      </c>
      <c r="Y334" s="3">
        <v>529</v>
      </c>
      <c r="Z334" s="3">
        <v>576</v>
      </c>
      <c r="AA334" s="7">
        <v>4900</v>
      </c>
      <c r="AB334" s="1">
        <v>117600</v>
      </c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 ht="21" customHeight="1" x14ac:dyDescent="0.3">
      <c r="A335" s="2"/>
      <c r="B335" s="2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7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 ht="21" customHeight="1" x14ac:dyDescent="0.3">
      <c r="A336" s="2"/>
      <c r="B336" s="2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7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 ht="21" customHeight="1" x14ac:dyDescent="0.3">
      <c r="A337" s="2"/>
      <c r="B337" s="2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7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 ht="21" customHeight="1" x14ac:dyDescent="0.3">
      <c r="A338" s="2"/>
      <c r="B338" s="2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7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 ht="21" customHeight="1" x14ac:dyDescent="0.3">
      <c r="A339" s="2" t="s">
        <v>51</v>
      </c>
      <c r="B339" s="2" t="s">
        <v>104</v>
      </c>
      <c r="C339" s="3">
        <v>53.592592592592602</v>
      </c>
      <c r="D339" s="3">
        <v>49.44444444444445</v>
      </c>
      <c r="E339" s="3">
        <v>47.333333333333336</v>
      </c>
      <c r="F339" s="3">
        <v>64</v>
      </c>
      <c r="G339" s="3">
        <v>37</v>
      </c>
      <c r="H339" s="3">
        <v>41</v>
      </c>
      <c r="I339" s="3">
        <v>114</v>
      </c>
      <c r="J339" s="3">
        <v>89</v>
      </c>
      <c r="K339" s="3">
        <v>112</v>
      </c>
      <c r="L339" s="3">
        <v>175</v>
      </c>
      <c r="M339" s="3">
        <v>353</v>
      </c>
      <c r="N339" s="3">
        <v>227</v>
      </c>
      <c r="O339" s="3">
        <v>200</v>
      </c>
      <c r="P339" s="3">
        <v>268</v>
      </c>
      <c r="Q339" s="3">
        <v>174</v>
      </c>
      <c r="R339" s="3">
        <v>215</v>
      </c>
      <c r="S339" s="3">
        <v>193</v>
      </c>
      <c r="T339" s="3">
        <v>129</v>
      </c>
      <c r="U339" s="3">
        <v>179</v>
      </c>
      <c r="V339" s="3">
        <v>183</v>
      </c>
      <c r="W339" s="3">
        <v>270</v>
      </c>
      <c r="X339" s="3">
        <v>299</v>
      </c>
      <c r="Y339" s="3">
        <v>242</v>
      </c>
      <c r="Z339" s="3">
        <v>374</v>
      </c>
      <c r="AA339" s="7">
        <v>4088.3703703703704</v>
      </c>
      <c r="AB339" s="1">
        <v>1226511.1111111112</v>
      </c>
      <c r="AC339" s="1">
        <v>137.93783522168272</v>
      </c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 ht="21" customHeight="1" x14ac:dyDescent="0.3">
      <c r="A340" s="2"/>
      <c r="B340" s="2"/>
      <c r="C340" s="3">
        <v>53.592592592592602</v>
      </c>
      <c r="D340" s="3">
        <v>98.8888888888889</v>
      </c>
      <c r="E340" s="3">
        <v>142</v>
      </c>
      <c r="F340" s="3">
        <v>256</v>
      </c>
      <c r="G340" s="3">
        <v>185</v>
      </c>
      <c r="H340" s="3">
        <v>246</v>
      </c>
      <c r="I340" s="3">
        <v>798</v>
      </c>
      <c r="J340" s="3">
        <v>712</v>
      </c>
      <c r="K340" s="3">
        <v>1008</v>
      </c>
      <c r="L340" s="3">
        <v>1750</v>
      </c>
      <c r="M340" s="3">
        <v>3883</v>
      </c>
      <c r="N340" s="3">
        <v>2724</v>
      </c>
      <c r="O340" s="3">
        <v>2600</v>
      </c>
      <c r="P340" s="3">
        <v>3752</v>
      </c>
      <c r="Q340" s="3">
        <v>2610</v>
      </c>
      <c r="R340" s="3">
        <v>3440</v>
      </c>
      <c r="S340" s="3">
        <v>3281</v>
      </c>
      <c r="T340" s="3">
        <v>2322</v>
      </c>
      <c r="U340" s="3">
        <v>3401</v>
      </c>
      <c r="V340" s="3">
        <v>3660</v>
      </c>
      <c r="W340" s="3">
        <v>5670</v>
      </c>
      <c r="X340" s="3">
        <v>6578</v>
      </c>
      <c r="Y340" s="3">
        <v>5566</v>
      </c>
      <c r="Z340" s="3">
        <v>8976</v>
      </c>
      <c r="AA340" s="7">
        <v>63712.481481481482</v>
      </c>
      <c r="AB340" s="1">
        <v>1529099.5555555555</v>
      </c>
      <c r="AC340" s="1">
        <v>2.592874416833284</v>
      </c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 ht="21" customHeight="1" x14ac:dyDescent="0.3">
      <c r="A341" s="2"/>
      <c r="B341" s="2"/>
      <c r="C341" s="3">
        <v>1</v>
      </c>
      <c r="D341" s="3">
        <v>4</v>
      </c>
      <c r="E341" s="3">
        <v>9</v>
      </c>
      <c r="F341" s="3">
        <v>16</v>
      </c>
      <c r="G341" s="3">
        <v>25</v>
      </c>
      <c r="H341" s="3">
        <v>36</v>
      </c>
      <c r="I341" s="3">
        <v>49</v>
      </c>
      <c r="J341" s="3">
        <v>64</v>
      </c>
      <c r="K341" s="3">
        <v>81</v>
      </c>
      <c r="L341" s="3">
        <v>100</v>
      </c>
      <c r="M341" s="3">
        <v>121</v>
      </c>
      <c r="N341" s="3">
        <v>144</v>
      </c>
      <c r="O341" s="3">
        <v>169</v>
      </c>
      <c r="P341" s="3">
        <v>196</v>
      </c>
      <c r="Q341" s="3">
        <v>225</v>
      </c>
      <c r="R341" s="3">
        <v>256</v>
      </c>
      <c r="S341" s="3">
        <v>289</v>
      </c>
      <c r="T341" s="3">
        <v>324</v>
      </c>
      <c r="U341" s="3">
        <v>361</v>
      </c>
      <c r="V341" s="3">
        <v>400</v>
      </c>
      <c r="W341" s="3">
        <v>441</v>
      </c>
      <c r="X341" s="3">
        <v>484</v>
      </c>
      <c r="Y341" s="3">
        <v>529</v>
      </c>
      <c r="Z341" s="3">
        <v>576</v>
      </c>
      <c r="AA341" s="7">
        <v>4900</v>
      </c>
      <c r="AB341" s="1">
        <v>117600</v>
      </c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 ht="21" customHeight="1" x14ac:dyDescent="0.3">
      <c r="A342" s="2"/>
      <c r="B342" s="2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7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 ht="21" customHeight="1" x14ac:dyDescent="0.3">
      <c r="A343" s="2"/>
      <c r="B343" s="2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7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 ht="21" customHeight="1" x14ac:dyDescent="0.3">
      <c r="A344" s="2"/>
      <c r="B344" s="2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7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 ht="21" customHeight="1" x14ac:dyDescent="0.3">
      <c r="A345" s="2"/>
      <c r="B345" s="2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7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 ht="21" customHeight="1" x14ac:dyDescent="0.3">
      <c r="A346" s="2" t="s">
        <v>52</v>
      </c>
      <c r="B346" s="2" t="s">
        <v>105</v>
      </c>
      <c r="C346" s="3">
        <v>31.407407407407408</v>
      </c>
      <c r="D346" s="3">
        <v>29.555555555555557</v>
      </c>
      <c r="E346" s="3">
        <v>28.666666666666668</v>
      </c>
      <c r="F346" s="3">
        <v>36</v>
      </c>
      <c r="G346" s="3">
        <v>24</v>
      </c>
      <c r="H346" s="3">
        <v>26</v>
      </c>
      <c r="I346" s="3">
        <v>58</v>
      </c>
      <c r="J346" s="3">
        <v>38</v>
      </c>
      <c r="K346" s="3">
        <v>59</v>
      </c>
      <c r="L346" s="3">
        <v>46</v>
      </c>
      <c r="M346" s="3">
        <v>53</v>
      </c>
      <c r="N346" s="3">
        <v>41</v>
      </c>
      <c r="O346" s="3">
        <v>35</v>
      </c>
      <c r="P346" s="3">
        <v>70</v>
      </c>
      <c r="Q346" s="3">
        <v>56</v>
      </c>
      <c r="R346" s="3">
        <v>77</v>
      </c>
      <c r="S346" s="3">
        <v>75</v>
      </c>
      <c r="T346" s="3">
        <v>194</v>
      </c>
      <c r="U346" s="3">
        <v>73</v>
      </c>
      <c r="V346" s="3">
        <v>79</v>
      </c>
      <c r="W346" s="3">
        <v>312</v>
      </c>
      <c r="X346" s="3">
        <v>116</v>
      </c>
      <c r="Y346" s="3">
        <v>70</v>
      </c>
      <c r="Z346" s="3">
        <v>141</v>
      </c>
      <c r="AA346" s="7">
        <v>1768.6296296296296</v>
      </c>
      <c r="AB346" s="1">
        <v>530588.88888888888</v>
      </c>
      <c r="AC346" s="1">
        <v>56.716941984829724</v>
      </c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 ht="21" customHeight="1" x14ac:dyDescent="0.3">
      <c r="A347" s="2"/>
      <c r="B347" s="2"/>
      <c r="C347" s="3">
        <v>31.407407407407408</v>
      </c>
      <c r="D347" s="3">
        <v>59.111111111111114</v>
      </c>
      <c r="E347" s="3">
        <v>86</v>
      </c>
      <c r="F347" s="3">
        <v>144</v>
      </c>
      <c r="G347" s="3">
        <v>120</v>
      </c>
      <c r="H347" s="3">
        <v>156</v>
      </c>
      <c r="I347" s="3">
        <v>406</v>
      </c>
      <c r="J347" s="3">
        <v>304</v>
      </c>
      <c r="K347" s="3">
        <v>531</v>
      </c>
      <c r="L347" s="3">
        <v>460</v>
      </c>
      <c r="M347" s="3">
        <v>583</v>
      </c>
      <c r="N347" s="3">
        <v>492</v>
      </c>
      <c r="O347" s="3">
        <v>455</v>
      </c>
      <c r="P347" s="3">
        <v>980</v>
      </c>
      <c r="Q347" s="3">
        <v>840</v>
      </c>
      <c r="R347" s="3">
        <v>1232</v>
      </c>
      <c r="S347" s="3">
        <v>1275</v>
      </c>
      <c r="T347" s="3">
        <v>3492</v>
      </c>
      <c r="U347" s="3">
        <v>1387</v>
      </c>
      <c r="V347" s="3">
        <v>1580</v>
      </c>
      <c r="W347" s="3">
        <v>6552</v>
      </c>
      <c r="X347" s="3">
        <v>2552</v>
      </c>
      <c r="Y347" s="3">
        <v>1610</v>
      </c>
      <c r="Z347" s="3">
        <v>3384</v>
      </c>
      <c r="AA347" s="7">
        <v>28711.518518518518</v>
      </c>
      <c r="AB347" s="1">
        <v>689076.4444444445</v>
      </c>
      <c r="AC347" s="1">
        <v>1.3580767399790541</v>
      </c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 ht="21" customHeight="1" x14ac:dyDescent="0.3">
      <c r="A348" s="2"/>
      <c r="B348" s="2"/>
      <c r="C348" s="3">
        <v>1</v>
      </c>
      <c r="D348" s="3">
        <v>4</v>
      </c>
      <c r="E348" s="3">
        <v>9</v>
      </c>
      <c r="F348" s="3">
        <v>16</v>
      </c>
      <c r="G348" s="3">
        <v>25</v>
      </c>
      <c r="H348" s="3">
        <v>36</v>
      </c>
      <c r="I348" s="3">
        <v>49</v>
      </c>
      <c r="J348" s="3">
        <v>64</v>
      </c>
      <c r="K348" s="3">
        <v>81</v>
      </c>
      <c r="L348" s="3">
        <v>100</v>
      </c>
      <c r="M348" s="3">
        <v>121</v>
      </c>
      <c r="N348" s="3">
        <v>144</v>
      </c>
      <c r="O348" s="3">
        <v>169</v>
      </c>
      <c r="P348" s="3">
        <v>196</v>
      </c>
      <c r="Q348" s="3">
        <v>225</v>
      </c>
      <c r="R348" s="3">
        <v>256</v>
      </c>
      <c r="S348" s="3">
        <v>289</v>
      </c>
      <c r="T348" s="3">
        <v>324</v>
      </c>
      <c r="U348" s="3">
        <v>361</v>
      </c>
      <c r="V348" s="3">
        <v>400</v>
      </c>
      <c r="W348" s="3">
        <v>441</v>
      </c>
      <c r="X348" s="3">
        <v>484</v>
      </c>
      <c r="Y348" s="3">
        <v>529</v>
      </c>
      <c r="Z348" s="3">
        <v>576</v>
      </c>
      <c r="AA348" s="7">
        <v>4900</v>
      </c>
      <c r="AB348" s="1">
        <v>117600</v>
      </c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 ht="21" customHeight="1" x14ac:dyDescent="0.3">
      <c r="A349" s="2"/>
      <c r="B349" s="2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7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 ht="21" customHeight="1" x14ac:dyDescent="0.3">
      <c r="A350" s="2"/>
      <c r="B350" s="2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7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 ht="21" customHeight="1" x14ac:dyDescent="0.3">
      <c r="A351" s="2"/>
      <c r="B351" s="2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7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 ht="21" customHeight="1" x14ac:dyDescent="0.3">
      <c r="A352" s="2"/>
      <c r="B352" s="2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7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 ht="21" customHeight="1" x14ac:dyDescent="0.3">
      <c r="A353" s="2" t="s">
        <v>53</v>
      </c>
      <c r="B353" s="2" t="s">
        <v>106</v>
      </c>
      <c r="C353" s="3">
        <v>140.25925925925927</v>
      </c>
      <c r="D353" s="3">
        <v>139.44444444444446</v>
      </c>
      <c r="E353" s="3">
        <v>129.33333333333334</v>
      </c>
      <c r="F353" s="3">
        <v>152</v>
      </c>
      <c r="G353" s="3">
        <v>137</v>
      </c>
      <c r="H353" s="3">
        <v>99</v>
      </c>
      <c r="I353" s="3">
        <v>220</v>
      </c>
      <c r="J353" s="3">
        <v>158</v>
      </c>
      <c r="K353" s="3">
        <v>118</v>
      </c>
      <c r="L353" s="3">
        <v>170</v>
      </c>
      <c r="M353" s="3">
        <v>110</v>
      </c>
      <c r="N353" s="3">
        <v>170</v>
      </c>
      <c r="O353" s="3">
        <v>130</v>
      </c>
      <c r="P353" s="3">
        <v>218</v>
      </c>
      <c r="Q353" s="3">
        <v>200</v>
      </c>
      <c r="R353" s="3">
        <v>211</v>
      </c>
      <c r="S353" s="3">
        <v>299</v>
      </c>
      <c r="T353" s="3">
        <v>554</v>
      </c>
      <c r="U353" s="3">
        <v>239</v>
      </c>
      <c r="V353" s="3">
        <v>177</v>
      </c>
      <c r="W353" s="3">
        <v>487</v>
      </c>
      <c r="X353" s="3">
        <v>414</v>
      </c>
      <c r="Y353" s="3">
        <v>161</v>
      </c>
      <c r="Z353" s="3">
        <v>288</v>
      </c>
      <c r="AA353" s="7">
        <v>5121.0370370370365</v>
      </c>
      <c r="AB353" s="1">
        <v>1536311.111111111</v>
      </c>
      <c r="AC353" s="1">
        <v>183.29637563870639</v>
      </c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 ht="21" customHeight="1" x14ac:dyDescent="0.3">
      <c r="A354" s="2"/>
      <c r="B354" s="2"/>
      <c r="C354" s="3">
        <v>140.25925925925927</v>
      </c>
      <c r="D354" s="3">
        <v>278.88888888888891</v>
      </c>
      <c r="E354" s="3">
        <v>388</v>
      </c>
      <c r="F354" s="3">
        <v>608</v>
      </c>
      <c r="G354" s="3">
        <v>685</v>
      </c>
      <c r="H354" s="3">
        <v>594</v>
      </c>
      <c r="I354" s="3">
        <v>1540</v>
      </c>
      <c r="J354" s="3">
        <v>1264</v>
      </c>
      <c r="K354" s="3">
        <v>1062</v>
      </c>
      <c r="L354" s="3">
        <v>1700</v>
      </c>
      <c r="M354" s="3">
        <v>1210</v>
      </c>
      <c r="N354" s="3">
        <v>2040</v>
      </c>
      <c r="O354" s="3">
        <v>1690</v>
      </c>
      <c r="P354" s="3">
        <v>3052</v>
      </c>
      <c r="Q354" s="3">
        <v>3000</v>
      </c>
      <c r="R354" s="3">
        <v>3376</v>
      </c>
      <c r="S354" s="3">
        <v>5083</v>
      </c>
      <c r="T354" s="3">
        <v>9972</v>
      </c>
      <c r="U354" s="3">
        <v>4541</v>
      </c>
      <c r="V354" s="3">
        <v>3540</v>
      </c>
      <c r="W354" s="3">
        <v>10227</v>
      </c>
      <c r="X354" s="3">
        <v>9108</v>
      </c>
      <c r="Y354" s="3">
        <v>3703</v>
      </c>
      <c r="Z354" s="3">
        <v>6912</v>
      </c>
      <c r="AA354" s="7">
        <v>75714.148148148146</v>
      </c>
      <c r="AB354" s="1">
        <v>1817139.5555555555</v>
      </c>
      <c r="AC354" s="1">
        <v>2.4064134056936117</v>
      </c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 ht="21" customHeight="1" x14ac:dyDescent="0.3">
      <c r="A355" s="2"/>
      <c r="B355" s="2"/>
      <c r="C355" s="3">
        <v>1</v>
      </c>
      <c r="D355" s="3">
        <v>4</v>
      </c>
      <c r="E355" s="3">
        <v>9</v>
      </c>
      <c r="F355" s="3">
        <v>16</v>
      </c>
      <c r="G355" s="3">
        <v>25</v>
      </c>
      <c r="H355" s="3">
        <v>36</v>
      </c>
      <c r="I355" s="3">
        <v>49</v>
      </c>
      <c r="J355" s="3">
        <v>64</v>
      </c>
      <c r="K355" s="3">
        <v>81</v>
      </c>
      <c r="L355" s="3">
        <v>100</v>
      </c>
      <c r="M355" s="3">
        <v>121</v>
      </c>
      <c r="N355" s="3">
        <v>144</v>
      </c>
      <c r="O355" s="3">
        <v>169</v>
      </c>
      <c r="P355" s="3">
        <v>196</v>
      </c>
      <c r="Q355" s="3">
        <v>225</v>
      </c>
      <c r="R355" s="3">
        <v>256</v>
      </c>
      <c r="S355" s="3">
        <v>289</v>
      </c>
      <c r="T355" s="3">
        <v>324</v>
      </c>
      <c r="U355" s="3">
        <v>361</v>
      </c>
      <c r="V355" s="3">
        <v>400</v>
      </c>
      <c r="W355" s="3">
        <v>441</v>
      </c>
      <c r="X355" s="3">
        <v>484</v>
      </c>
      <c r="Y355" s="3">
        <v>529</v>
      </c>
      <c r="Z355" s="3">
        <v>576</v>
      </c>
      <c r="AA355" s="7">
        <v>4900</v>
      </c>
      <c r="AB355" s="1">
        <v>117600</v>
      </c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 ht="21" customHeight="1" x14ac:dyDescent="0.3">
      <c r="A356" s="2"/>
      <c r="B356" s="2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7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 ht="21" customHeight="1" x14ac:dyDescent="0.3">
      <c r="A357" s="2"/>
      <c r="B357" s="2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7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 ht="21" customHeight="1" x14ac:dyDescent="0.3">
      <c r="A358" s="2"/>
      <c r="B358" s="2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7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 ht="21" customHeight="1" x14ac:dyDescent="0.3">
      <c r="A359" s="2"/>
      <c r="B359" s="2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7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 ht="21" customHeight="1" x14ac:dyDescent="0.3">
      <c r="A360" s="2" t="s">
        <v>54</v>
      </c>
      <c r="B360" s="2" t="s">
        <v>107</v>
      </c>
      <c r="C360" s="3">
        <v>143.39506172839504</v>
      </c>
      <c r="D360" s="3">
        <v>148.29629629629628</v>
      </c>
      <c r="E360" s="3">
        <v>128.2222222222222</v>
      </c>
      <c r="F360" s="3">
        <v>153.66666666666666</v>
      </c>
      <c r="G360" s="3">
        <v>163</v>
      </c>
      <c r="H360" s="3">
        <v>68</v>
      </c>
      <c r="I360" s="3">
        <v>230</v>
      </c>
      <c r="J360" s="3">
        <v>220</v>
      </c>
      <c r="K360" s="3">
        <v>193</v>
      </c>
      <c r="L360" s="3">
        <v>281</v>
      </c>
      <c r="M360" s="3">
        <v>154</v>
      </c>
      <c r="N360" s="3">
        <v>260</v>
      </c>
      <c r="O360" s="3">
        <v>209</v>
      </c>
      <c r="P360" s="3">
        <v>361</v>
      </c>
      <c r="Q360" s="3">
        <v>315</v>
      </c>
      <c r="R360" s="3">
        <v>242</v>
      </c>
      <c r="S360" s="3">
        <v>278</v>
      </c>
      <c r="T360" s="3">
        <v>238</v>
      </c>
      <c r="U360" s="3">
        <v>262</v>
      </c>
      <c r="V360" s="3">
        <v>196</v>
      </c>
      <c r="W360" s="3">
        <v>263</v>
      </c>
      <c r="X360" s="3">
        <v>396</v>
      </c>
      <c r="Y360" s="3">
        <v>273</v>
      </c>
      <c r="Z360" s="3">
        <v>566</v>
      </c>
      <c r="AA360" s="7">
        <v>5741.5802469135797</v>
      </c>
      <c r="AB360" s="1">
        <v>1722474.0740740739</v>
      </c>
      <c r="AC360" s="1">
        <v>208.39043342113891</v>
      </c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 ht="21" customHeight="1" x14ac:dyDescent="0.3">
      <c r="A361" s="2"/>
      <c r="B361" s="2"/>
      <c r="C361" s="3">
        <v>143.39506172839504</v>
      </c>
      <c r="D361" s="3">
        <v>296.59259259259255</v>
      </c>
      <c r="E361" s="3">
        <v>384.66666666666663</v>
      </c>
      <c r="F361" s="3">
        <v>614.66666666666663</v>
      </c>
      <c r="G361" s="3">
        <v>815</v>
      </c>
      <c r="H361" s="3">
        <v>408</v>
      </c>
      <c r="I361" s="3">
        <v>1610</v>
      </c>
      <c r="J361" s="3">
        <v>1760</v>
      </c>
      <c r="K361" s="3">
        <v>1737</v>
      </c>
      <c r="L361" s="3">
        <v>2810</v>
      </c>
      <c r="M361" s="3">
        <v>1694</v>
      </c>
      <c r="N361" s="3">
        <v>3120</v>
      </c>
      <c r="O361" s="3">
        <v>2717</v>
      </c>
      <c r="P361" s="3">
        <v>5054</v>
      </c>
      <c r="Q361" s="3">
        <v>4725</v>
      </c>
      <c r="R361" s="3">
        <v>3872</v>
      </c>
      <c r="S361" s="3">
        <v>4726</v>
      </c>
      <c r="T361" s="3">
        <v>4284</v>
      </c>
      <c r="U361" s="3">
        <v>4978</v>
      </c>
      <c r="V361" s="3">
        <v>3920</v>
      </c>
      <c r="W361" s="3">
        <v>5523</v>
      </c>
      <c r="X361" s="3">
        <v>8712</v>
      </c>
      <c r="Y361" s="3">
        <v>6279</v>
      </c>
      <c r="Z361" s="3">
        <v>13584</v>
      </c>
      <c r="AA361" s="7">
        <v>83767.320987654326</v>
      </c>
      <c r="AB361" s="1">
        <v>2010415.7037037038</v>
      </c>
      <c r="AC361" s="1">
        <v>2.467366149354155</v>
      </c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 ht="21" customHeight="1" x14ac:dyDescent="0.3">
      <c r="A362" s="2"/>
      <c r="B362" s="2"/>
      <c r="C362" s="3">
        <v>1</v>
      </c>
      <c r="D362" s="3">
        <v>4</v>
      </c>
      <c r="E362" s="3">
        <v>9</v>
      </c>
      <c r="F362" s="3">
        <v>16</v>
      </c>
      <c r="G362" s="3">
        <v>25</v>
      </c>
      <c r="H362" s="3">
        <v>36</v>
      </c>
      <c r="I362" s="3">
        <v>49</v>
      </c>
      <c r="J362" s="3">
        <v>64</v>
      </c>
      <c r="K362" s="3">
        <v>81</v>
      </c>
      <c r="L362" s="3">
        <v>100</v>
      </c>
      <c r="M362" s="3">
        <v>121</v>
      </c>
      <c r="N362" s="3">
        <v>144</v>
      </c>
      <c r="O362" s="3">
        <v>169</v>
      </c>
      <c r="P362" s="3">
        <v>196</v>
      </c>
      <c r="Q362" s="3">
        <v>225</v>
      </c>
      <c r="R362" s="3">
        <v>256</v>
      </c>
      <c r="S362" s="3">
        <v>289</v>
      </c>
      <c r="T362" s="3">
        <v>324</v>
      </c>
      <c r="U362" s="3">
        <v>361</v>
      </c>
      <c r="V362" s="3">
        <v>400</v>
      </c>
      <c r="W362" s="3">
        <v>441</v>
      </c>
      <c r="X362" s="3">
        <v>484</v>
      </c>
      <c r="Y362" s="3">
        <v>529</v>
      </c>
      <c r="Z362" s="3">
        <v>576</v>
      </c>
      <c r="AA362" s="7">
        <v>4900</v>
      </c>
      <c r="AB362" s="1">
        <v>117600</v>
      </c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 ht="21" customHeight="1" x14ac:dyDescent="0.3">
      <c r="A363" s="2"/>
      <c r="B363" s="2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7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 ht="21" customHeight="1" x14ac:dyDescent="0.3">
      <c r="A364" s="2"/>
      <c r="B364" s="2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7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 ht="21" customHeight="1" x14ac:dyDescent="0.3">
      <c r="A365" s="2"/>
      <c r="B365" s="2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7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 ht="21" customHeight="1" x14ac:dyDescent="0.3">
      <c r="A366" s="2"/>
      <c r="B366" s="2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7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 ht="21" customHeight="1" x14ac:dyDescent="0.3">
      <c r="A367" s="2" t="s">
        <v>55</v>
      </c>
      <c r="B367" s="2" t="s">
        <v>108</v>
      </c>
      <c r="C367" s="3">
        <v>116.25925925925925</v>
      </c>
      <c r="D367" s="3">
        <v>115.44444444444444</v>
      </c>
      <c r="E367" s="3">
        <v>100.33333333333333</v>
      </c>
      <c r="F367" s="3">
        <v>133</v>
      </c>
      <c r="G367" s="3">
        <v>113</v>
      </c>
      <c r="H367" s="3">
        <v>55</v>
      </c>
      <c r="I367" s="3">
        <v>231</v>
      </c>
      <c r="J367" s="3">
        <v>231</v>
      </c>
      <c r="K367" s="3">
        <v>187</v>
      </c>
      <c r="L367" s="3">
        <v>278</v>
      </c>
      <c r="M367" s="3">
        <v>179</v>
      </c>
      <c r="N367" s="3">
        <v>219</v>
      </c>
      <c r="O367" s="3">
        <v>200</v>
      </c>
      <c r="P367" s="3">
        <v>301</v>
      </c>
      <c r="Q367" s="3">
        <v>262</v>
      </c>
      <c r="R367" s="3">
        <v>240</v>
      </c>
      <c r="S367" s="3">
        <v>262</v>
      </c>
      <c r="T367" s="3">
        <v>238</v>
      </c>
      <c r="U367" s="3">
        <v>223</v>
      </c>
      <c r="V367" s="3">
        <v>273</v>
      </c>
      <c r="W367" s="3">
        <v>350</v>
      </c>
      <c r="X367" s="3">
        <v>246</v>
      </c>
      <c r="Y367" s="3">
        <v>203</v>
      </c>
      <c r="Z367" s="3">
        <v>363</v>
      </c>
      <c r="AA367" s="7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</sheetData>
  <mergeCells count="3">
    <mergeCell ref="C1:Z1"/>
    <mergeCell ref="A1:A2"/>
    <mergeCell ref="B1:B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실전문제08_1_1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419100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실전문제08_3_2">
                <anchor mov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5</xdr:col>
                    <xdr:colOff>457200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실전문제08_4_1">
                <anchor moveWithCells="1">
                  <from>
                    <xdr:col>6</xdr:col>
                    <xdr:colOff>66675</xdr:colOff>
                    <xdr:row>0</xdr:row>
                    <xdr:rowOff>0</xdr:rowOff>
                  </from>
                  <to>
                    <xdr:col>7</xdr:col>
                    <xdr:colOff>495300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54"/>
  <sheetViews>
    <sheetView tabSelected="1" workbookViewId="0">
      <selection activeCell="M17" sqref="M17"/>
    </sheetView>
  </sheetViews>
  <sheetFormatPr defaultRowHeight="20.25" customHeight="1" x14ac:dyDescent="0.3"/>
  <cols>
    <col min="1" max="1" width="15.5" customWidth="1"/>
    <col min="2" max="2" width="37.25" customWidth="1"/>
    <col min="16" max="16" width="9" style="8"/>
  </cols>
  <sheetData>
    <row r="1" spans="1:14" ht="20.25" customHeight="1" x14ac:dyDescent="0.3">
      <c r="A1" s="21" t="s">
        <v>0</v>
      </c>
      <c r="B1" s="21" t="s">
        <v>1</v>
      </c>
      <c r="C1" s="20" t="s">
        <v>109</v>
      </c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</row>
    <row r="2" spans="1:14" ht="20.25" customHeight="1" x14ac:dyDescent="0.3">
      <c r="A2" s="22"/>
      <c r="B2" s="22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</row>
    <row r="3" spans="1:14" ht="20.25" customHeight="1" x14ac:dyDescent="0.3">
      <c r="A3" s="15" t="s">
        <v>114</v>
      </c>
      <c r="B3" s="15" t="s">
        <v>115</v>
      </c>
      <c r="C3" s="16">
        <v>612.45877368370941</v>
      </c>
      <c r="D3" s="16">
        <v>616.03473483766538</v>
      </c>
      <c r="E3" s="16">
        <v>619.61069599162136</v>
      </c>
      <c r="F3" s="16">
        <v>623.18665714557733</v>
      </c>
      <c r="G3" s="16">
        <v>626.76261829953341</v>
      </c>
      <c r="H3" s="16">
        <v>630.33857945348939</v>
      </c>
      <c r="I3" s="16">
        <v>633.91454060744536</v>
      </c>
      <c r="J3" s="16">
        <v>637.49050176140145</v>
      </c>
      <c r="K3" s="16">
        <v>641.06646291535742</v>
      </c>
      <c r="L3" s="16">
        <v>644.64242406931339</v>
      </c>
      <c r="M3" s="16">
        <v>648.21838522326948</v>
      </c>
      <c r="N3" s="16">
        <v>651.79434637722545</v>
      </c>
    </row>
    <row r="4" spans="1:14" ht="20.25" customHeight="1" x14ac:dyDescent="0.3">
      <c r="A4" s="15" t="s">
        <v>116</v>
      </c>
      <c r="B4" s="15" t="s">
        <v>117</v>
      </c>
      <c r="C4" s="16">
        <v>355.41957059887653</v>
      </c>
      <c r="D4" s="16">
        <v>358.77239550604588</v>
      </c>
      <c r="E4" s="16">
        <v>362.12522041321529</v>
      </c>
      <c r="F4" s="16">
        <v>365.47804532038469</v>
      </c>
      <c r="G4" s="16">
        <v>368.83087022755404</v>
      </c>
      <c r="H4" s="16">
        <v>372.18369513472339</v>
      </c>
      <c r="I4" s="16">
        <v>375.5365200418928</v>
      </c>
      <c r="J4" s="16">
        <v>378.88934494906221</v>
      </c>
      <c r="K4" s="16">
        <v>382.24216985623156</v>
      </c>
      <c r="L4" s="16">
        <v>385.5949947634009</v>
      </c>
      <c r="M4" s="16">
        <v>388.94781967057031</v>
      </c>
      <c r="N4" s="16">
        <v>392.30064457773972</v>
      </c>
    </row>
    <row r="5" spans="1:14" ht="20.25" customHeight="1" x14ac:dyDescent="0.3">
      <c r="A5" s="15" t="s">
        <v>118</v>
      </c>
      <c r="B5" s="15" t="s">
        <v>119</v>
      </c>
      <c r="C5" s="16">
        <v>104.45805960201845</v>
      </c>
      <c r="D5" s="16">
        <v>104.91840807388363</v>
      </c>
      <c r="E5" s="16">
        <v>105.37875654574881</v>
      </c>
      <c r="F5" s="16">
        <v>105.83910501761399</v>
      </c>
      <c r="G5" s="16">
        <v>106.29945348947918</v>
      </c>
      <c r="H5" s="16">
        <v>106.75980196134435</v>
      </c>
      <c r="I5" s="16">
        <v>107.22015043320954</v>
      </c>
      <c r="J5" s="16">
        <v>107.68049890507471</v>
      </c>
      <c r="K5" s="16">
        <v>108.1408473769399</v>
      </c>
      <c r="L5" s="16">
        <v>108.60119584880508</v>
      </c>
      <c r="M5" s="16">
        <v>109.06154432067027</v>
      </c>
      <c r="N5" s="16">
        <v>109.52189279253544</v>
      </c>
    </row>
    <row r="6" spans="1:14" ht="20.25" customHeight="1" x14ac:dyDescent="0.3">
      <c r="A6" s="15" t="s">
        <v>120</v>
      </c>
      <c r="B6" s="15" t="s">
        <v>121</v>
      </c>
      <c r="C6" s="16">
        <v>308.60707654955729</v>
      </c>
      <c r="D6" s="16">
        <v>312.6611982290774</v>
      </c>
      <c r="E6" s="16">
        <v>316.71531990859751</v>
      </c>
      <c r="F6" s="16">
        <v>320.76944158811767</v>
      </c>
      <c r="G6" s="16">
        <v>324.82356326763784</v>
      </c>
      <c r="H6" s="16">
        <v>328.87768494715795</v>
      </c>
      <c r="I6" s="16">
        <v>332.93180662667805</v>
      </c>
      <c r="J6" s="16">
        <v>336.98592830619822</v>
      </c>
      <c r="K6" s="16">
        <v>341.04004998571838</v>
      </c>
      <c r="L6" s="16">
        <v>345.09417166523849</v>
      </c>
      <c r="M6" s="16">
        <v>349.1482933447586</v>
      </c>
      <c r="N6" s="16">
        <v>353.20241502427876</v>
      </c>
    </row>
    <row r="7" spans="1:14" ht="20.25" customHeight="1" x14ac:dyDescent="0.3">
      <c r="A7" s="15" t="s">
        <v>122</v>
      </c>
      <c r="B7" s="15" t="s">
        <v>123</v>
      </c>
      <c r="C7" s="16">
        <v>91.423367133200031</v>
      </c>
      <c r="D7" s="16">
        <v>92.723532800152341</v>
      </c>
      <c r="E7" s="16">
        <v>94.023698467104637</v>
      </c>
      <c r="F7" s="16">
        <v>95.323864134056947</v>
      </c>
      <c r="G7" s="16">
        <v>96.624029801009243</v>
      </c>
      <c r="H7" s="16">
        <v>97.924195467961539</v>
      </c>
      <c r="I7" s="16">
        <v>99.224361134913835</v>
      </c>
      <c r="J7" s="16">
        <v>100.52452680186613</v>
      </c>
      <c r="K7" s="16">
        <v>101.82469246881844</v>
      </c>
      <c r="L7" s="16">
        <v>103.12485813577074</v>
      </c>
      <c r="M7" s="16">
        <v>104.42502380272305</v>
      </c>
      <c r="N7" s="16">
        <v>105.72518946967534</v>
      </c>
    </row>
    <row r="8" spans="1:14" ht="20.25" customHeight="1" x14ac:dyDescent="0.3">
      <c r="A8" s="15" t="s">
        <v>124</v>
      </c>
      <c r="B8" s="15" t="s">
        <v>125</v>
      </c>
      <c r="C8" s="16">
        <v>247.58085785013802</v>
      </c>
      <c r="D8" s="16">
        <v>249.60140055222314</v>
      </c>
      <c r="E8" s="16">
        <v>251.62194325430826</v>
      </c>
      <c r="F8" s="16">
        <v>253.64248595639339</v>
      </c>
      <c r="G8" s="16">
        <v>255.66302865847848</v>
      </c>
      <c r="H8" s="16">
        <v>257.68357136056363</v>
      </c>
      <c r="I8" s="16">
        <v>259.70411406264873</v>
      </c>
      <c r="J8" s="16">
        <v>261.72465676473382</v>
      </c>
      <c r="K8" s="16">
        <v>263.74519946681897</v>
      </c>
      <c r="L8" s="16">
        <v>265.76574216890407</v>
      </c>
      <c r="M8" s="16">
        <v>267.78628487098922</v>
      </c>
      <c r="N8" s="16">
        <v>269.80682757307432</v>
      </c>
    </row>
    <row r="9" spans="1:14" ht="20.25" customHeight="1" x14ac:dyDescent="0.3">
      <c r="A9" s="15" t="s">
        <v>126</v>
      </c>
      <c r="B9" s="15" t="s">
        <v>127</v>
      </c>
      <c r="C9" s="16">
        <v>143.06610016185851</v>
      </c>
      <c r="D9" s="16">
        <v>144.75064743406648</v>
      </c>
      <c r="E9" s="16">
        <v>146.43519470627442</v>
      </c>
      <c r="F9" s="16">
        <v>148.11974197848235</v>
      </c>
      <c r="G9" s="16">
        <v>149.80428925069032</v>
      </c>
      <c r="H9" s="16">
        <v>151.48883652289823</v>
      </c>
      <c r="I9" s="16">
        <v>153.17338379510619</v>
      </c>
      <c r="J9" s="16">
        <v>154.85793106731413</v>
      </c>
      <c r="K9" s="16">
        <v>156.54247833952206</v>
      </c>
      <c r="L9" s="16">
        <v>158.22702561173003</v>
      </c>
      <c r="M9" s="16">
        <v>159.91157288393794</v>
      </c>
      <c r="N9" s="16">
        <v>161.5961201561459</v>
      </c>
    </row>
    <row r="10" spans="1:14" ht="20.25" customHeight="1" x14ac:dyDescent="0.3">
      <c r="A10" s="15" t="s">
        <v>128</v>
      </c>
      <c r="B10" s="15" t="s">
        <v>129</v>
      </c>
      <c r="C10" s="16">
        <v>277.73978863181952</v>
      </c>
      <c r="D10" s="16">
        <v>279.43452727792061</v>
      </c>
      <c r="E10" s="16">
        <v>281.12926592402175</v>
      </c>
      <c r="F10" s="16">
        <v>282.82400457012284</v>
      </c>
      <c r="G10" s="16">
        <v>284.51874321622392</v>
      </c>
      <c r="H10" s="16">
        <v>286.21348186232507</v>
      </c>
      <c r="I10" s="16">
        <v>287.90822050842621</v>
      </c>
      <c r="J10" s="16">
        <v>289.6029591545273</v>
      </c>
      <c r="K10" s="16">
        <v>291.29769780062838</v>
      </c>
      <c r="L10" s="16">
        <v>292.99243644672953</v>
      </c>
      <c r="M10" s="16">
        <v>294.68717509283067</v>
      </c>
      <c r="N10" s="16">
        <v>296.38191373893176</v>
      </c>
    </row>
    <row r="11" spans="1:14" ht="20.25" customHeight="1" x14ac:dyDescent="0.3">
      <c r="A11" s="15" t="s">
        <v>130</v>
      </c>
      <c r="B11" s="15" t="s">
        <v>131</v>
      </c>
      <c r="C11" s="16">
        <v>245.51553127677806</v>
      </c>
      <c r="D11" s="16">
        <v>246.82010711225365</v>
      </c>
      <c r="E11" s="16">
        <v>248.12468294772924</v>
      </c>
      <c r="F11" s="16">
        <v>249.42925878320483</v>
      </c>
      <c r="G11" s="16">
        <v>250.73383461868039</v>
      </c>
      <c r="H11" s="16">
        <v>252.03841045415598</v>
      </c>
      <c r="I11" s="16">
        <v>253.34298628963154</v>
      </c>
      <c r="J11" s="16">
        <v>254.64756212510713</v>
      </c>
      <c r="K11" s="16">
        <v>255.95213796058272</v>
      </c>
      <c r="L11" s="16">
        <v>257.25671379605831</v>
      </c>
      <c r="M11" s="16">
        <v>258.5612896315339</v>
      </c>
      <c r="N11" s="16">
        <v>259.86586546700943</v>
      </c>
    </row>
    <row r="12" spans="1:14" ht="20.25" customHeight="1" x14ac:dyDescent="0.3">
      <c r="A12" s="15" t="s">
        <v>132</v>
      </c>
      <c r="B12" s="15" t="s">
        <v>133</v>
      </c>
      <c r="C12" s="16">
        <v>82.20577454060745</v>
      </c>
      <c r="D12" s="16">
        <v>83.12816242978198</v>
      </c>
      <c r="E12" s="16">
        <v>84.050550318956496</v>
      </c>
      <c r="F12" s="16">
        <v>84.972938208131012</v>
      </c>
      <c r="G12" s="16">
        <v>85.895326097305542</v>
      </c>
      <c r="H12" s="16">
        <v>86.817713986480058</v>
      </c>
      <c r="I12" s="16">
        <v>87.740101875654588</v>
      </c>
      <c r="J12" s="16">
        <v>88.662489764829104</v>
      </c>
      <c r="K12" s="16">
        <v>89.584877654003634</v>
      </c>
      <c r="L12" s="16">
        <v>90.50726554317815</v>
      </c>
      <c r="M12" s="16">
        <v>91.429653432352666</v>
      </c>
      <c r="N12" s="16">
        <v>92.352041321527196</v>
      </c>
    </row>
    <row r="13" spans="1:14" ht="20.25" customHeight="1" x14ac:dyDescent="0.3">
      <c r="A13" s="15" t="s">
        <v>134</v>
      </c>
      <c r="B13" s="15" t="s">
        <v>135</v>
      </c>
      <c r="C13" s="16">
        <v>520.54987860611254</v>
      </c>
      <c r="D13" s="16">
        <v>525.89942445015708</v>
      </c>
      <c r="E13" s="16">
        <v>531.24897029420163</v>
      </c>
      <c r="F13" s="16">
        <v>536.59851613824628</v>
      </c>
      <c r="G13" s="16">
        <v>541.94806198229082</v>
      </c>
      <c r="H13" s="16">
        <v>547.29760782633537</v>
      </c>
      <c r="I13" s="16">
        <v>552.64715367037991</v>
      </c>
      <c r="J13" s="16">
        <v>557.99669951442445</v>
      </c>
      <c r="K13" s="16">
        <v>563.3462453584691</v>
      </c>
      <c r="L13" s="16">
        <v>568.69579120251365</v>
      </c>
      <c r="M13" s="16">
        <v>574.04533704655819</v>
      </c>
      <c r="N13" s="16">
        <v>579.39488289060273</v>
      </c>
    </row>
    <row r="14" spans="1:14" ht="20.25" customHeight="1" x14ac:dyDescent="0.3">
      <c r="A14" s="15" t="s">
        <v>136</v>
      </c>
      <c r="B14" s="15" t="s">
        <v>137</v>
      </c>
      <c r="C14" s="16">
        <v>1243.9281871846138</v>
      </c>
      <c r="D14" s="16">
        <v>1251.3187384556793</v>
      </c>
      <c r="E14" s="16">
        <v>1258.7092897267446</v>
      </c>
      <c r="F14" s="16">
        <v>1266.0998409978101</v>
      </c>
      <c r="G14" s="16">
        <v>1273.4903922688754</v>
      </c>
      <c r="H14" s="16">
        <v>1280.8809435399407</v>
      </c>
      <c r="I14" s="16">
        <v>1288.2714948110063</v>
      </c>
      <c r="J14" s="16">
        <v>1295.6620460820716</v>
      </c>
      <c r="K14" s="16">
        <v>1303.0525973531371</v>
      </c>
      <c r="L14" s="16">
        <v>1310.4431486242024</v>
      </c>
      <c r="M14" s="16">
        <v>1317.8336998952677</v>
      </c>
      <c r="N14" s="16">
        <v>1325.2242511663333</v>
      </c>
    </row>
    <row r="15" spans="1:14" ht="20.25" customHeight="1" x14ac:dyDescent="0.3">
      <c r="A15" s="15" t="s">
        <v>138</v>
      </c>
      <c r="B15" s="15" t="s">
        <v>139</v>
      </c>
      <c r="C15" s="16">
        <v>235.91187041797585</v>
      </c>
      <c r="D15" s="16">
        <v>238.22667190326575</v>
      </c>
      <c r="E15" s="16">
        <v>240.54147338855569</v>
      </c>
      <c r="F15" s="16">
        <v>242.85627487384559</v>
      </c>
      <c r="G15" s="16">
        <v>245.1710763591355</v>
      </c>
      <c r="H15" s="16">
        <v>247.48587784442543</v>
      </c>
      <c r="I15" s="16">
        <v>249.80067932971536</v>
      </c>
      <c r="J15" s="16">
        <v>252.11548081500527</v>
      </c>
      <c r="K15" s="16">
        <v>254.43028230029518</v>
      </c>
      <c r="L15" s="16">
        <v>256.74508378558511</v>
      </c>
      <c r="M15" s="16">
        <v>259.05988527087504</v>
      </c>
      <c r="N15" s="16">
        <v>261.37468675616492</v>
      </c>
    </row>
    <row r="16" spans="1:14" ht="20.25" customHeight="1" x14ac:dyDescent="0.3">
      <c r="A16" s="15" t="s">
        <v>140</v>
      </c>
      <c r="B16" s="15" t="s">
        <v>141</v>
      </c>
      <c r="C16" s="16">
        <v>1356.4268780348471</v>
      </c>
      <c r="D16" s="16">
        <v>1368.0921393887459</v>
      </c>
      <c r="E16" s="16">
        <v>1379.7574007426449</v>
      </c>
      <c r="F16" s="16">
        <v>1391.4226620965437</v>
      </c>
      <c r="G16" s="16">
        <v>1403.0879234504425</v>
      </c>
      <c r="H16" s="16">
        <v>1414.7531848043413</v>
      </c>
      <c r="I16" s="16">
        <v>1426.4184461582404</v>
      </c>
      <c r="J16" s="16">
        <v>1438.0837075121392</v>
      </c>
      <c r="K16" s="16">
        <v>1449.748968866038</v>
      </c>
      <c r="L16" s="16">
        <v>1461.4142302199371</v>
      </c>
      <c r="M16" s="16">
        <v>1473.0794915738359</v>
      </c>
      <c r="N16" s="16">
        <v>1484.7447529277347</v>
      </c>
    </row>
    <row r="17" spans="1:14" ht="20.25" customHeight="1" x14ac:dyDescent="0.3">
      <c r="A17" s="15" t="s">
        <v>142</v>
      </c>
      <c r="B17" s="15" t="s">
        <v>143</v>
      </c>
      <c r="C17" s="16">
        <v>893.30948300485568</v>
      </c>
      <c r="D17" s="16">
        <v>900.43201942302198</v>
      </c>
      <c r="E17" s="16">
        <v>907.55455584118818</v>
      </c>
      <c r="F17" s="16">
        <v>914.67709225935437</v>
      </c>
      <c r="G17" s="16">
        <v>921.79962867752067</v>
      </c>
      <c r="H17" s="16">
        <v>928.92216509568686</v>
      </c>
      <c r="I17" s="16">
        <v>936.04470151385317</v>
      </c>
      <c r="J17" s="16">
        <v>943.16723793201936</v>
      </c>
      <c r="K17" s="16">
        <v>950.28977435018555</v>
      </c>
      <c r="L17" s="16">
        <v>957.41231076835186</v>
      </c>
      <c r="M17" s="16">
        <v>964.53484718651805</v>
      </c>
      <c r="N17" s="16">
        <v>971.65738360468436</v>
      </c>
    </row>
    <row r="18" spans="1:14" ht="20.25" customHeight="1" x14ac:dyDescent="0.3">
      <c r="A18" s="15" t="s">
        <v>144</v>
      </c>
      <c r="B18" s="15" t="s">
        <v>145</v>
      </c>
      <c r="C18" s="16">
        <v>74.645934494906214</v>
      </c>
      <c r="D18" s="16">
        <v>75.487979624869084</v>
      </c>
      <c r="E18" s="16">
        <v>76.330024754831953</v>
      </c>
      <c r="F18" s="16">
        <v>77.172069884794809</v>
      </c>
      <c r="G18" s="16">
        <v>78.014115014757678</v>
      </c>
      <c r="H18" s="16">
        <v>78.856160144720548</v>
      </c>
      <c r="I18" s="16">
        <v>79.698205274683417</v>
      </c>
      <c r="J18" s="16">
        <v>80.540250404646287</v>
      </c>
      <c r="K18" s="16">
        <v>81.382295534609142</v>
      </c>
      <c r="L18" s="16">
        <v>82.224340664572026</v>
      </c>
      <c r="M18" s="16">
        <v>83.066385794534881</v>
      </c>
      <c r="N18" s="16">
        <v>83.90843092449775</v>
      </c>
    </row>
    <row r="19" spans="1:14" ht="20.25" customHeight="1" x14ac:dyDescent="0.3">
      <c r="A19" s="15" t="s">
        <v>146</v>
      </c>
      <c r="B19" s="15" t="s">
        <v>147</v>
      </c>
      <c r="C19" s="16">
        <v>79.513436637151287</v>
      </c>
      <c r="D19" s="16">
        <v>80.201548605160426</v>
      </c>
      <c r="E19" s="16">
        <v>80.889660573169564</v>
      </c>
      <c r="F19" s="16">
        <v>81.577772541178703</v>
      </c>
      <c r="G19" s="16">
        <v>82.265884509187842</v>
      </c>
      <c r="H19" s="16">
        <v>82.953996477196981</v>
      </c>
      <c r="I19" s="16">
        <v>83.642108445206119</v>
      </c>
      <c r="J19" s="16">
        <v>84.330220413215258</v>
      </c>
      <c r="K19" s="16">
        <v>85.018332381224397</v>
      </c>
      <c r="L19" s="16">
        <v>85.706444349233536</v>
      </c>
      <c r="M19" s="16">
        <v>86.394556317242674</v>
      </c>
      <c r="N19" s="16">
        <v>87.082668285251813</v>
      </c>
    </row>
    <row r="20" spans="1:14" ht="20.25" customHeight="1" x14ac:dyDescent="0.3">
      <c r="A20" s="15" t="s">
        <v>148</v>
      </c>
      <c r="B20" s="15" t="s">
        <v>149</v>
      </c>
      <c r="C20" s="16">
        <v>36.097769684851947</v>
      </c>
      <c r="D20" s="16">
        <v>36.363739407788252</v>
      </c>
      <c r="E20" s="16">
        <v>36.629709130724557</v>
      </c>
      <c r="F20" s="16">
        <v>36.895678853660861</v>
      </c>
      <c r="G20" s="16">
        <v>37.161648576597166</v>
      </c>
      <c r="H20" s="16">
        <v>37.427618299533471</v>
      </c>
      <c r="I20" s="16">
        <v>37.693588022469775</v>
      </c>
      <c r="J20" s="16">
        <v>37.95955774540608</v>
      </c>
      <c r="K20" s="16">
        <v>38.225527468342385</v>
      </c>
      <c r="L20" s="16">
        <v>38.49149719127869</v>
      </c>
      <c r="M20" s="16">
        <v>38.757466914214987</v>
      </c>
      <c r="N20" s="16">
        <v>39.023436637151292</v>
      </c>
    </row>
    <row r="21" spans="1:14" ht="20.25" customHeight="1" x14ac:dyDescent="0.3">
      <c r="A21" s="15" t="s">
        <v>150</v>
      </c>
      <c r="B21" s="15" t="s">
        <v>151</v>
      </c>
      <c r="C21" s="16">
        <v>201.99633438065311</v>
      </c>
      <c r="D21" s="16">
        <v>204.07752261258685</v>
      </c>
      <c r="E21" s="16">
        <v>206.15871084452058</v>
      </c>
      <c r="F21" s="16">
        <v>208.23989907645432</v>
      </c>
      <c r="G21" s="16">
        <v>210.32108730838803</v>
      </c>
      <c r="H21" s="16">
        <v>212.4022755403218</v>
      </c>
      <c r="I21" s="16">
        <v>214.4834637722555</v>
      </c>
      <c r="J21" s="16">
        <v>216.56465200418924</v>
      </c>
      <c r="K21" s="16">
        <v>218.64584023612298</v>
      </c>
      <c r="L21" s="16">
        <v>220.72702846805669</v>
      </c>
      <c r="M21" s="16">
        <v>222.80821669999045</v>
      </c>
      <c r="N21" s="16">
        <v>224.88940493192416</v>
      </c>
    </row>
    <row r="22" spans="1:14" ht="20.25" customHeight="1" x14ac:dyDescent="0.3">
      <c r="A22" s="15" t="s">
        <v>152</v>
      </c>
      <c r="B22" s="15" t="s">
        <v>153</v>
      </c>
      <c r="C22" s="16">
        <v>236.68304294011233</v>
      </c>
      <c r="D22" s="16">
        <v>238.6517604493954</v>
      </c>
      <c r="E22" s="16">
        <v>240.62047795867846</v>
      </c>
      <c r="F22" s="16">
        <v>242.5891954679615</v>
      </c>
      <c r="G22" s="16">
        <v>244.55791297724457</v>
      </c>
      <c r="H22" s="16">
        <v>246.52663048652764</v>
      </c>
      <c r="I22" s="16">
        <v>248.4953479958107</v>
      </c>
      <c r="J22" s="16">
        <v>250.46406550509374</v>
      </c>
      <c r="K22" s="16">
        <v>252.43278301437681</v>
      </c>
      <c r="L22" s="16">
        <v>254.40150052365988</v>
      </c>
      <c r="M22" s="16">
        <v>256.37021803294294</v>
      </c>
      <c r="N22" s="16">
        <v>258.33893554222601</v>
      </c>
    </row>
    <row r="23" spans="1:14" ht="20.25" customHeight="1" x14ac:dyDescent="0.3">
      <c r="A23" s="15" t="s">
        <v>154</v>
      </c>
      <c r="B23" s="15" t="s">
        <v>155</v>
      </c>
      <c r="C23" s="16">
        <v>218.63398552794439</v>
      </c>
      <c r="D23" s="16">
        <v>220.23211177758733</v>
      </c>
      <c r="E23" s="16">
        <v>221.83023802723031</v>
      </c>
      <c r="F23" s="16">
        <v>223.42836427687325</v>
      </c>
      <c r="G23" s="16">
        <v>225.02649052651623</v>
      </c>
      <c r="H23" s="16">
        <v>226.62461677615917</v>
      </c>
      <c r="I23" s="16">
        <v>228.22274302580212</v>
      </c>
      <c r="J23" s="16">
        <v>229.82086927544509</v>
      </c>
      <c r="K23" s="16">
        <v>231.41899552508806</v>
      </c>
      <c r="L23" s="16">
        <v>233.01712177473101</v>
      </c>
      <c r="M23" s="16">
        <v>234.61524802437395</v>
      </c>
      <c r="N23" s="16">
        <v>236.21337427401693</v>
      </c>
    </row>
    <row r="24" spans="1:14" ht="20.25" customHeight="1" x14ac:dyDescent="0.3">
      <c r="A24" s="15" t="s">
        <v>156</v>
      </c>
      <c r="B24" s="15" t="s">
        <v>157</v>
      </c>
      <c r="C24" s="16">
        <v>87.817516423878885</v>
      </c>
      <c r="D24" s="16">
        <v>88.450695515566977</v>
      </c>
      <c r="E24" s="16">
        <v>89.083874607255069</v>
      </c>
      <c r="F24" s="16">
        <v>89.717053698943147</v>
      </c>
      <c r="G24" s="16">
        <v>90.350232790631239</v>
      </c>
      <c r="H24" s="16">
        <v>90.983411882319331</v>
      </c>
      <c r="I24" s="16">
        <v>91.616590974007423</v>
      </c>
      <c r="J24" s="16">
        <v>92.249770065695515</v>
      </c>
      <c r="K24" s="16">
        <v>92.882949157383592</v>
      </c>
      <c r="L24" s="16">
        <v>93.516128249071684</v>
      </c>
      <c r="M24" s="16">
        <v>94.149307340759776</v>
      </c>
      <c r="N24" s="16">
        <v>94.782486432447868</v>
      </c>
    </row>
    <row r="25" spans="1:14" ht="20.25" customHeight="1" x14ac:dyDescent="0.3">
      <c r="A25" s="15" t="s">
        <v>158</v>
      </c>
      <c r="B25" s="15" t="s">
        <v>159</v>
      </c>
      <c r="C25" s="16">
        <v>204.59117633057224</v>
      </c>
      <c r="D25" s="16">
        <v>207.02032228886986</v>
      </c>
      <c r="E25" s="16">
        <v>209.44946824716749</v>
      </c>
      <c r="F25" s="16">
        <v>211.87861420546511</v>
      </c>
      <c r="G25" s="16">
        <v>214.30776016376274</v>
      </c>
      <c r="H25" s="16">
        <v>216.73690612206036</v>
      </c>
      <c r="I25" s="16">
        <v>219.16605208035801</v>
      </c>
      <c r="J25" s="16">
        <v>221.59519803865564</v>
      </c>
      <c r="K25" s="16">
        <v>224.02434399695326</v>
      </c>
      <c r="L25" s="16">
        <v>226.45348995525092</v>
      </c>
      <c r="M25" s="16">
        <v>228.88263591354854</v>
      </c>
      <c r="N25" s="16">
        <v>231.31178187184616</v>
      </c>
    </row>
    <row r="26" spans="1:14" ht="20.25" customHeight="1" x14ac:dyDescent="0.3">
      <c r="A26" s="15" t="s">
        <v>160</v>
      </c>
      <c r="B26" s="15" t="s">
        <v>161</v>
      </c>
      <c r="C26" s="16">
        <v>289.31406502903934</v>
      </c>
      <c r="D26" s="16">
        <v>291.67511615728841</v>
      </c>
      <c r="E26" s="16">
        <v>294.03616728553749</v>
      </c>
      <c r="F26" s="16">
        <v>296.39721841378656</v>
      </c>
      <c r="G26" s="16">
        <v>298.75826954203563</v>
      </c>
      <c r="H26" s="16">
        <v>301.11932067028471</v>
      </c>
      <c r="I26" s="16">
        <v>303.48037179853378</v>
      </c>
      <c r="J26" s="16">
        <v>305.84142292678285</v>
      </c>
      <c r="K26" s="16">
        <v>308.20247405503193</v>
      </c>
      <c r="L26" s="16">
        <v>310.563525183281</v>
      </c>
      <c r="M26" s="16">
        <v>312.92457631153007</v>
      </c>
      <c r="N26" s="16">
        <v>315.28562743977915</v>
      </c>
    </row>
    <row r="27" spans="1:14" ht="20.25" customHeight="1" x14ac:dyDescent="0.3">
      <c r="A27" s="15" t="s">
        <v>162</v>
      </c>
      <c r="B27" s="15" t="s">
        <v>163</v>
      </c>
      <c r="C27" s="16">
        <v>6146.7534275921162</v>
      </c>
      <c r="D27" s="16">
        <v>6179.7403684661522</v>
      </c>
      <c r="E27" s="16">
        <v>6212.7273093401882</v>
      </c>
      <c r="F27" s="16">
        <v>6245.7142502142242</v>
      </c>
      <c r="G27" s="16">
        <v>6278.7011910882602</v>
      </c>
      <c r="H27" s="16">
        <v>6311.6881319622962</v>
      </c>
      <c r="I27" s="16">
        <v>6344.6750728363322</v>
      </c>
      <c r="J27" s="16">
        <v>6377.6620137103682</v>
      </c>
      <c r="K27" s="16">
        <v>6410.6489545844042</v>
      </c>
      <c r="L27" s="16">
        <v>6443.6358954584402</v>
      </c>
      <c r="M27" s="16">
        <v>6476.6228363324763</v>
      </c>
      <c r="N27" s="16">
        <v>6509.6097772065123</v>
      </c>
    </row>
    <row r="28" spans="1:14" ht="20.25" customHeight="1" x14ac:dyDescent="0.3">
      <c r="A28" s="15" t="s">
        <v>164</v>
      </c>
      <c r="B28" s="15" t="s">
        <v>165</v>
      </c>
      <c r="C28" s="16">
        <v>2347.2083571360563</v>
      </c>
      <c r="D28" s="16">
        <v>2359.9735442254591</v>
      </c>
      <c r="E28" s="16">
        <v>2372.738731314862</v>
      </c>
      <c r="F28" s="16">
        <v>2385.5039184042653</v>
      </c>
      <c r="G28" s="16">
        <v>2398.2691054936681</v>
      </c>
      <c r="H28" s="16">
        <v>2411.034292583071</v>
      </c>
      <c r="I28" s="16">
        <v>2423.7994796724743</v>
      </c>
      <c r="J28" s="16">
        <v>2436.5646667618771</v>
      </c>
      <c r="K28" s="16">
        <v>2449.3298538512799</v>
      </c>
      <c r="L28" s="16">
        <v>2462.0950409406832</v>
      </c>
      <c r="M28" s="16">
        <v>2474.8602280300861</v>
      </c>
      <c r="N28" s="16">
        <v>2487.6254151194889</v>
      </c>
    </row>
    <row r="29" spans="1:14" ht="20.25" customHeight="1" x14ac:dyDescent="0.3">
      <c r="A29" s="15" t="s">
        <v>166</v>
      </c>
      <c r="B29" s="15" t="s">
        <v>167</v>
      </c>
      <c r="C29" s="16">
        <v>426.7170094258783</v>
      </c>
      <c r="D29" s="16">
        <v>430.40770351328189</v>
      </c>
      <c r="E29" s="16">
        <v>434.09839760068553</v>
      </c>
      <c r="F29" s="16">
        <v>437.78909168808912</v>
      </c>
      <c r="G29" s="16">
        <v>441.4797857754927</v>
      </c>
      <c r="H29" s="16">
        <v>445.17047986289629</v>
      </c>
      <c r="I29" s="16">
        <v>448.86117395029987</v>
      </c>
      <c r="J29" s="16">
        <v>452.55186803770351</v>
      </c>
      <c r="K29" s="16">
        <v>456.2425621251071</v>
      </c>
      <c r="L29" s="16">
        <v>459.93325621251068</v>
      </c>
      <c r="M29" s="16">
        <v>463.62395029991433</v>
      </c>
      <c r="N29" s="16">
        <v>467.31464438731791</v>
      </c>
    </row>
    <row r="30" spans="1:14" ht="20.25" customHeight="1" x14ac:dyDescent="0.3">
      <c r="A30" s="15" t="s">
        <v>168</v>
      </c>
      <c r="B30" s="15" t="s">
        <v>169</v>
      </c>
      <c r="C30" s="16">
        <v>296.18297153194328</v>
      </c>
      <c r="D30" s="16">
        <v>298.85612777301731</v>
      </c>
      <c r="E30" s="16">
        <v>301.52928401409127</v>
      </c>
      <c r="F30" s="16">
        <v>304.20244025516524</v>
      </c>
      <c r="G30" s="16">
        <v>306.87559649623927</v>
      </c>
      <c r="H30" s="16">
        <v>309.54875273731324</v>
      </c>
      <c r="I30" s="16">
        <v>312.22190897838721</v>
      </c>
      <c r="J30" s="16">
        <v>314.89506521946117</v>
      </c>
      <c r="K30" s="16">
        <v>317.56822146053514</v>
      </c>
      <c r="L30" s="16">
        <v>320.24137770160917</v>
      </c>
      <c r="M30" s="16">
        <v>322.91453394268314</v>
      </c>
      <c r="N30" s="16">
        <v>325.5876901837571</v>
      </c>
    </row>
    <row r="31" spans="1:14" ht="20.25" customHeight="1" x14ac:dyDescent="0.3">
      <c r="A31" s="15" t="s">
        <v>170</v>
      </c>
      <c r="B31" s="15" t="s">
        <v>171</v>
      </c>
      <c r="C31" s="16">
        <v>705.74751261544316</v>
      </c>
      <c r="D31" s="16">
        <v>709.28546177282681</v>
      </c>
      <c r="E31" s="16">
        <v>712.82341093021046</v>
      </c>
      <c r="F31" s="16">
        <v>716.36136008759399</v>
      </c>
      <c r="G31" s="16">
        <v>719.89930924497764</v>
      </c>
      <c r="H31" s="16">
        <v>723.43725840236129</v>
      </c>
      <c r="I31" s="16">
        <v>726.97520755974483</v>
      </c>
      <c r="J31" s="16">
        <v>730.51315671712848</v>
      </c>
      <c r="K31" s="16">
        <v>734.05110587451213</v>
      </c>
      <c r="L31" s="16">
        <v>737.58905503189567</v>
      </c>
      <c r="M31" s="16">
        <v>741.12700418927932</v>
      </c>
      <c r="N31" s="16">
        <v>744.66495334666286</v>
      </c>
    </row>
    <row r="32" spans="1:14" ht="20.25" customHeight="1" x14ac:dyDescent="0.3">
      <c r="A32" s="15" t="s">
        <v>172</v>
      </c>
      <c r="B32" s="15" t="s">
        <v>173</v>
      </c>
      <c r="C32" s="16">
        <v>339.33903408549941</v>
      </c>
      <c r="D32" s="16">
        <v>341.62134199752455</v>
      </c>
      <c r="E32" s="16">
        <v>343.9036499095497</v>
      </c>
      <c r="F32" s="16">
        <v>346.18595782157479</v>
      </c>
      <c r="G32" s="16">
        <v>348.46826573359994</v>
      </c>
      <c r="H32" s="16">
        <v>350.75057364562508</v>
      </c>
      <c r="I32" s="16">
        <v>353.03288155765023</v>
      </c>
      <c r="J32" s="16">
        <v>355.31518946967537</v>
      </c>
      <c r="K32" s="16">
        <v>357.59749738170046</v>
      </c>
      <c r="L32" s="16">
        <v>359.87980529372567</v>
      </c>
      <c r="M32" s="16">
        <v>362.16211320575076</v>
      </c>
      <c r="N32" s="16">
        <v>364.4444211177759</v>
      </c>
    </row>
    <row r="33" spans="1:14" ht="20.25" customHeight="1" x14ac:dyDescent="0.3">
      <c r="A33" s="15" t="s">
        <v>174</v>
      </c>
      <c r="B33" s="15" t="s">
        <v>175</v>
      </c>
      <c r="C33" s="16">
        <v>250.1576573359992</v>
      </c>
      <c r="D33" s="16">
        <v>252.19434399695322</v>
      </c>
      <c r="E33" s="16">
        <v>254.23103065790724</v>
      </c>
      <c r="F33" s="16">
        <v>256.26771731886123</v>
      </c>
      <c r="G33" s="16">
        <v>258.30440397981522</v>
      </c>
      <c r="H33" s="16">
        <v>260.34109064076927</v>
      </c>
      <c r="I33" s="16">
        <v>262.37777730172326</v>
      </c>
      <c r="J33" s="16">
        <v>264.4144639626773</v>
      </c>
      <c r="K33" s="16">
        <v>266.45115062363129</v>
      </c>
      <c r="L33" s="16">
        <v>268.48783728458534</v>
      </c>
      <c r="M33" s="16">
        <v>270.52452394553933</v>
      </c>
      <c r="N33" s="16">
        <v>272.56121060649332</v>
      </c>
    </row>
    <row r="34" spans="1:14" ht="20.25" customHeight="1" x14ac:dyDescent="0.3">
      <c r="A34" s="15" t="s">
        <v>176</v>
      </c>
      <c r="B34" s="15" t="s">
        <v>177</v>
      </c>
      <c r="C34" s="16">
        <v>476.94981195848806</v>
      </c>
      <c r="D34" s="16">
        <v>480.81283395220413</v>
      </c>
      <c r="E34" s="16">
        <v>484.67585594592026</v>
      </c>
      <c r="F34" s="16">
        <v>488.53887793963634</v>
      </c>
      <c r="G34" s="16">
        <v>492.40189993335241</v>
      </c>
      <c r="H34" s="16">
        <v>496.26492192706849</v>
      </c>
      <c r="I34" s="16">
        <v>500.12794392078456</v>
      </c>
      <c r="J34" s="16">
        <v>503.99096591450063</v>
      </c>
      <c r="K34" s="16">
        <v>507.85398790821671</v>
      </c>
      <c r="L34" s="16">
        <v>511.71700990193278</v>
      </c>
      <c r="M34" s="16">
        <v>515.58003189564886</v>
      </c>
      <c r="N34" s="16">
        <v>519.44305388936505</v>
      </c>
    </row>
    <row r="35" spans="1:14" ht="20.25" customHeight="1" x14ac:dyDescent="0.3">
      <c r="A35" s="15" t="s">
        <v>178</v>
      </c>
      <c r="B35" s="15" t="s">
        <v>179</v>
      </c>
      <c r="C35" s="16">
        <v>137.32791821384365</v>
      </c>
      <c r="D35" s="16">
        <v>139.10785537465486</v>
      </c>
      <c r="E35" s="16">
        <v>140.88779253546605</v>
      </c>
      <c r="F35" s="16">
        <v>142.66772969627726</v>
      </c>
      <c r="G35" s="16">
        <v>144.44766685708845</v>
      </c>
      <c r="H35" s="16">
        <v>146.22760401789964</v>
      </c>
      <c r="I35" s="16">
        <v>148.00754117871082</v>
      </c>
      <c r="J35" s="16">
        <v>149.78747833952204</v>
      </c>
      <c r="K35" s="16">
        <v>151.56741550033323</v>
      </c>
      <c r="L35" s="16">
        <v>153.34735266114444</v>
      </c>
      <c r="M35" s="16">
        <v>155.12728982195563</v>
      </c>
      <c r="N35" s="16">
        <v>156.90722698276682</v>
      </c>
    </row>
    <row r="36" spans="1:14" ht="20.25" customHeight="1" x14ac:dyDescent="0.3">
      <c r="A36" s="15" t="s">
        <v>180</v>
      </c>
      <c r="B36" s="15" t="s">
        <v>181</v>
      </c>
      <c r="C36" s="16">
        <v>150.6766638103399</v>
      </c>
      <c r="D36" s="16">
        <v>151.81524135961155</v>
      </c>
      <c r="E36" s="16">
        <v>152.95381890888316</v>
      </c>
      <c r="F36" s="16">
        <v>154.09239645815481</v>
      </c>
      <c r="G36" s="16">
        <v>155.23097400742645</v>
      </c>
      <c r="H36" s="16">
        <v>156.36955155669807</v>
      </c>
      <c r="I36" s="16">
        <v>157.50812910596972</v>
      </c>
      <c r="J36" s="16">
        <v>158.64670665524136</v>
      </c>
      <c r="K36" s="16">
        <v>159.785284204513</v>
      </c>
      <c r="L36" s="16">
        <v>160.92386175378462</v>
      </c>
      <c r="M36" s="16">
        <v>162.06243930305627</v>
      </c>
      <c r="N36" s="16">
        <v>163.20101685232788</v>
      </c>
    </row>
    <row r="37" spans="1:14" ht="20.25" customHeight="1" x14ac:dyDescent="0.3">
      <c r="A37" s="15" t="s">
        <v>182</v>
      </c>
      <c r="B37" s="15" t="s">
        <v>183</v>
      </c>
      <c r="C37" s="16">
        <v>92.547950585546999</v>
      </c>
      <c r="D37" s="16">
        <v>93.317342187946309</v>
      </c>
      <c r="E37" s="16">
        <v>94.086733790345619</v>
      </c>
      <c r="F37" s="16">
        <v>94.856125392744929</v>
      </c>
      <c r="G37" s="16">
        <v>95.625516995144253</v>
      </c>
      <c r="H37" s="16">
        <v>96.394908597543562</v>
      </c>
      <c r="I37" s="16">
        <v>97.164300199942886</v>
      </c>
      <c r="J37" s="16">
        <v>97.933691802342196</v>
      </c>
      <c r="K37" s="16">
        <v>98.703083404741506</v>
      </c>
      <c r="L37" s="16">
        <v>99.472475007140815</v>
      </c>
      <c r="M37" s="16">
        <v>100.24186660954014</v>
      </c>
      <c r="N37" s="16">
        <v>101.01125821193945</v>
      </c>
    </row>
    <row r="38" spans="1:14" ht="20.25" customHeight="1" x14ac:dyDescent="0.3">
      <c r="A38" s="15" t="s">
        <v>184</v>
      </c>
      <c r="B38" s="15" t="s">
        <v>185</v>
      </c>
      <c r="C38" s="16">
        <v>224.64729125011905</v>
      </c>
      <c r="D38" s="16">
        <v>226.02500047605449</v>
      </c>
      <c r="E38" s="16">
        <v>227.40270970198995</v>
      </c>
      <c r="F38" s="16">
        <v>228.78041892792538</v>
      </c>
      <c r="G38" s="16">
        <v>230.15812815386084</v>
      </c>
      <c r="H38" s="16">
        <v>231.53583737979628</v>
      </c>
      <c r="I38" s="16">
        <v>232.91354660573174</v>
      </c>
      <c r="J38" s="16">
        <v>234.29125583166717</v>
      </c>
      <c r="K38" s="16">
        <v>235.66896505760263</v>
      </c>
      <c r="L38" s="16">
        <v>237.04667428353807</v>
      </c>
      <c r="M38" s="16">
        <v>238.42438350947353</v>
      </c>
      <c r="N38" s="16">
        <v>239.80209273540896</v>
      </c>
    </row>
    <row r="39" spans="1:14" ht="20.25" customHeight="1" x14ac:dyDescent="0.3">
      <c r="A39" s="15" t="s">
        <v>186</v>
      </c>
      <c r="B39" s="15" t="s">
        <v>187</v>
      </c>
      <c r="C39" s="16">
        <v>515.42220476689192</v>
      </c>
      <c r="D39" s="16">
        <v>521.1890675679964</v>
      </c>
      <c r="E39" s="16">
        <v>526.95593036910088</v>
      </c>
      <c r="F39" s="16">
        <v>532.72279317020525</v>
      </c>
      <c r="G39" s="16">
        <v>538.48965597130973</v>
      </c>
      <c r="H39" s="16">
        <v>544.25651877241421</v>
      </c>
      <c r="I39" s="16">
        <v>550.02338157351869</v>
      </c>
      <c r="J39" s="16">
        <v>555.79024437462306</v>
      </c>
      <c r="K39" s="16">
        <v>561.55710717572754</v>
      </c>
      <c r="L39" s="16">
        <v>567.32396997683202</v>
      </c>
      <c r="M39" s="16">
        <v>573.09083277793638</v>
      </c>
      <c r="N39" s="16">
        <v>578.85769557904086</v>
      </c>
    </row>
    <row r="40" spans="1:14" ht="20.25" customHeight="1" x14ac:dyDescent="0.3">
      <c r="A40" s="15" t="s">
        <v>188</v>
      </c>
      <c r="B40" s="15" t="s">
        <v>189</v>
      </c>
      <c r="C40" s="16">
        <v>1213.8309715742591</v>
      </c>
      <c r="D40" s="16">
        <v>1224.062963703492</v>
      </c>
      <c r="E40" s="16">
        <v>1234.294955832725</v>
      </c>
      <c r="F40" s="16">
        <v>1244.5269479619578</v>
      </c>
      <c r="G40" s="16">
        <v>1254.7589400911907</v>
      </c>
      <c r="H40" s="16">
        <v>1264.9909322204237</v>
      </c>
      <c r="I40" s="16">
        <v>1275.2229243496565</v>
      </c>
      <c r="J40" s="16">
        <v>1285.4549164788896</v>
      </c>
      <c r="K40" s="16">
        <v>1295.6869086081224</v>
      </c>
      <c r="L40" s="16">
        <v>1305.9189007373552</v>
      </c>
      <c r="M40" s="16">
        <v>1316.1508928665883</v>
      </c>
      <c r="N40" s="16">
        <v>1326.3828849958213</v>
      </c>
    </row>
    <row r="41" spans="1:14" ht="20.25" customHeight="1" x14ac:dyDescent="0.3">
      <c r="A41" s="15" t="s">
        <v>190</v>
      </c>
      <c r="B41" s="15" t="s">
        <v>191</v>
      </c>
      <c r="C41" s="16">
        <v>1329.0148066160991</v>
      </c>
      <c r="D41" s="16">
        <v>1343.2547977297493</v>
      </c>
      <c r="E41" s="16">
        <v>1357.4947888433994</v>
      </c>
      <c r="F41" s="16">
        <v>1371.7347799570493</v>
      </c>
      <c r="G41" s="16">
        <v>1385.9747710706995</v>
      </c>
      <c r="H41" s="16">
        <v>1400.2147621843496</v>
      </c>
      <c r="I41" s="16">
        <v>1414.4547532979996</v>
      </c>
      <c r="J41" s="16">
        <v>1428.6947444116497</v>
      </c>
      <c r="K41" s="16">
        <v>1442.9347355252999</v>
      </c>
      <c r="L41" s="16">
        <v>1457.1747266389498</v>
      </c>
      <c r="M41" s="16">
        <v>1471.4147177525999</v>
      </c>
      <c r="N41" s="16">
        <v>1485.6547088662501</v>
      </c>
    </row>
    <row r="42" spans="1:14" ht="20.25" customHeight="1" x14ac:dyDescent="0.3">
      <c r="A42" s="15" t="s">
        <v>192</v>
      </c>
      <c r="B42" s="15" t="s">
        <v>193</v>
      </c>
      <c r="C42" s="16">
        <v>198.4245321442551</v>
      </c>
      <c r="D42" s="16">
        <v>200.80524368698892</v>
      </c>
      <c r="E42" s="16">
        <v>203.18595522972274</v>
      </c>
      <c r="F42" s="16">
        <v>205.56666677245656</v>
      </c>
      <c r="G42" s="16">
        <v>207.94737831519041</v>
      </c>
      <c r="H42" s="16">
        <v>210.32808985792423</v>
      </c>
      <c r="I42" s="16">
        <v>212.70880140065805</v>
      </c>
      <c r="J42" s="16">
        <v>215.08951294339187</v>
      </c>
      <c r="K42" s="16">
        <v>217.47022448612569</v>
      </c>
      <c r="L42" s="16">
        <v>219.85093602885951</v>
      </c>
      <c r="M42" s="16">
        <v>222.23164757159333</v>
      </c>
      <c r="N42" s="16">
        <v>224.61235911432715</v>
      </c>
    </row>
    <row r="43" spans="1:14" ht="20.25" customHeight="1" x14ac:dyDescent="0.3">
      <c r="A43" s="15" t="s">
        <v>194</v>
      </c>
      <c r="B43" s="15" t="s">
        <v>195</v>
      </c>
      <c r="C43" s="16">
        <v>233.17625387455433</v>
      </c>
      <c r="D43" s="16">
        <v>235.45216488410713</v>
      </c>
      <c r="E43" s="16">
        <v>237.72807589365996</v>
      </c>
      <c r="F43" s="16">
        <v>240.00398690321279</v>
      </c>
      <c r="G43" s="16">
        <v>242.27989791276562</v>
      </c>
      <c r="H43" s="16">
        <v>244.55580892231845</v>
      </c>
      <c r="I43" s="16">
        <v>246.83171993187125</v>
      </c>
      <c r="J43" s="16">
        <v>249.10763094142408</v>
      </c>
      <c r="K43" s="16">
        <v>251.38354195097691</v>
      </c>
      <c r="L43" s="16">
        <v>253.65945296052973</v>
      </c>
      <c r="M43" s="16">
        <v>255.93536397008256</v>
      </c>
      <c r="N43" s="16">
        <v>258.21127497963539</v>
      </c>
    </row>
    <row r="44" spans="1:14" ht="20.25" customHeight="1" x14ac:dyDescent="0.3">
      <c r="A44" s="15" t="s">
        <v>196</v>
      </c>
      <c r="B44" s="15" t="s">
        <v>197</v>
      </c>
      <c r="C44" s="16">
        <v>214.30518396860157</v>
      </c>
      <c r="D44" s="16">
        <v>216.30420773958764</v>
      </c>
      <c r="E44" s="16">
        <v>218.30323151057371</v>
      </c>
      <c r="F44" s="16">
        <v>220.30225528155978</v>
      </c>
      <c r="G44" s="16">
        <v>222.30127905254585</v>
      </c>
      <c r="H44" s="16">
        <v>224.30030282353192</v>
      </c>
      <c r="I44" s="16">
        <v>226.29932659451796</v>
      </c>
      <c r="J44" s="16">
        <v>228.29835036550404</v>
      </c>
      <c r="K44" s="16">
        <v>230.29737413649011</v>
      </c>
      <c r="L44" s="16">
        <v>232.29639790747618</v>
      </c>
      <c r="M44" s="16">
        <v>234.29542167846225</v>
      </c>
      <c r="N44" s="16">
        <v>236.29444544944832</v>
      </c>
    </row>
    <row r="45" spans="1:14" ht="20.25" customHeight="1" x14ac:dyDescent="0.3">
      <c r="A45" s="15" t="s">
        <v>198</v>
      </c>
      <c r="B45" s="15" t="s">
        <v>199</v>
      </c>
      <c r="C45" s="16">
        <v>86.389104435769681</v>
      </c>
      <c r="D45" s="16">
        <v>87.15607641203043</v>
      </c>
      <c r="E45" s="16">
        <v>87.923048388291178</v>
      </c>
      <c r="F45" s="16">
        <v>88.690020364551927</v>
      </c>
      <c r="G45" s="16">
        <v>89.45699234081269</v>
      </c>
      <c r="H45" s="16">
        <v>90.223964317073438</v>
      </c>
      <c r="I45" s="16">
        <v>90.990936293334187</v>
      </c>
      <c r="J45" s="16">
        <v>91.757908269594935</v>
      </c>
      <c r="K45" s="16">
        <v>92.524880245855684</v>
      </c>
      <c r="L45" s="16">
        <v>93.291852222116432</v>
      </c>
      <c r="M45" s="16">
        <v>94.058824198377181</v>
      </c>
      <c r="N45" s="16">
        <v>94.825796174637944</v>
      </c>
    </row>
    <row r="46" spans="1:14" ht="20.25" customHeight="1" x14ac:dyDescent="0.3">
      <c r="A46" s="15" t="s">
        <v>200</v>
      </c>
      <c r="B46" s="15" t="s">
        <v>201</v>
      </c>
      <c r="C46" s="16">
        <v>114.86847540914238</v>
      </c>
      <c r="D46" s="16">
        <v>115.85996990277911</v>
      </c>
      <c r="E46" s="16">
        <v>116.85146439641585</v>
      </c>
      <c r="F46" s="16">
        <v>117.84295889005259</v>
      </c>
      <c r="G46" s="16">
        <v>118.83445338368932</v>
      </c>
      <c r="H46" s="16">
        <v>119.82594787732606</v>
      </c>
      <c r="I46" s="16">
        <v>120.81744237096279</v>
      </c>
      <c r="J46" s="16">
        <v>121.80893686459953</v>
      </c>
      <c r="K46" s="16">
        <v>122.80043135823627</v>
      </c>
      <c r="L46" s="16">
        <v>123.791925851873</v>
      </c>
      <c r="M46" s="16">
        <v>124.78342034550975</v>
      </c>
      <c r="N46" s="16">
        <v>125.77491483914649</v>
      </c>
    </row>
    <row r="47" spans="1:14" ht="20.25" customHeight="1" x14ac:dyDescent="0.3">
      <c r="A47" s="15" t="s">
        <v>202</v>
      </c>
      <c r="B47" s="15" t="s">
        <v>203</v>
      </c>
      <c r="C47" s="16">
        <v>601.1942698911422</v>
      </c>
      <c r="D47" s="16">
        <v>605.84956456885334</v>
      </c>
      <c r="E47" s="16">
        <v>610.50485924656448</v>
      </c>
      <c r="F47" s="16">
        <v>615.16015392427562</v>
      </c>
      <c r="G47" s="16">
        <v>619.81544860198676</v>
      </c>
      <c r="H47" s="16">
        <v>624.4707432796979</v>
      </c>
      <c r="I47" s="16">
        <v>629.12603795740893</v>
      </c>
      <c r="J47" s="16">
        <v>633.78133263512018</v>
      </c>
      <c r="K47" s="16">
        <v>638.43662731283121</v>
      </c>
      <c r="L47" s="16">
        <v>643.09192199054235</v>
      </c>
      <c r="M47" s="16">
        <v>647.74721666825349</v>
      </c>
      <c r="N47" s="16">
        <v>652.40251134596463</v>
      </c>
    </row>
    <row r="48" spans="1:14" ht="20.25" customHeight="1" x14ac:dyDescent="0.3">
      <c r="A48" s="15" t="s">
        <v>204</v>
      </c>
      <c r="B48" s="15" t="s">
        <v>205</v>
      </c>
      <c r="C48" s="16">
        <v>353.63921419277028</v>
      </c>
      <c r="D48" s="16">
        <v>357.09677108127835</v>
      </c>
      <c r="E48" s="16">
        <v>360.55432796978641</v>
      </c>
      <c r="F48" s="16">
        <v>364.01188485829448</v>
      </c>
      <c r="G48" s="16">
        <v>367.46944174680249</v>
      </c>
      <c r="H48" s="16">
        <v>370.92699863531055</v>
      </c>
      <c r="I48" s="16">
        <v>374.38455552381856</v>
      </c>
      <c r="J48" s="16">
        <v>377.84211241232663</v>
      </c>
      <c r="K48" s="16">
        <v>381.29966930083469</v>
      </c>
      <c r="L48" s="16">
        <v>384.7572261893427</v>
      </c>
      <c r="M48" s="16">
        <v>388.21478307785077</v>
      </c>
      <c r="N48" s="16">
        <v>391.67233996635878</v>
      </c>
    </row>
    <row r="49" spans="1:14" ht="20.25" customHeight="1" x14ac:dyDescent="0.3">
      <c r="A49" s="15" t="s">
        <v>206</v>
      </c>
      <c r="B49" s="15" t="s">
        <v>207</v>
      </c>
      <c r="C49" s="16">
        <v>100.60406550509379</v>
      </c>
      <c r="D49" s="16">
        <v>101.44202037513092</v>
      </c>
      <c r="E49" s="16">
        <v>102.27997524516806</v>
      </c>
      <c r="F49" s="16">
        <v>103.11793011520518</v>
      </c>
      <c r="G49" s="16">
        <v>103.95588498524232</v>
      </c>
      <c r="H49" s="16">
        <v>104.79383985527946</v>
      </c>
      <c r="I49" s="16">
        <v>105.63179472531658</v>
      </c>
      <c r="J49" s="16">
        <v>106.46974959535372</v>
      </c>
      <c r="K49" s="16">
        <v>107.30770446539086</v>
      </c>
      <c r="L49" s="16">
        <v>108.14565933542798</v>
      </c>
      <c r="M49" s="16">
        <v>108.98361420546512</v>
      </c>
      <c r="N49" s="16">
        <v>109.82156907550225</v>
      </c>
    </row>
    <row r="50" spans="1:14" ht="20.25" customHeight="1" x14ac:dyDescent="0.3">
      <c r="A50" s="15" t="s">
        <v>208</v>
      </c>
      <c r="B50" s="15" t="s">
        <v>209</v>
      </c>
      <c r="C50" s="16">
        <v>306.48310800088865</v>
      </c>
      <c r="D50" s="16">
        <v>310.72200355453998</v>
      </c>
      <c r="E50" s="16">
        <v>314.96089910819137</v>
      </c>
      <c r="F50" s="16">
        <v>319.1997946618427</v>
      </c>
      <c r="G50" s="16">
        <v>323.43869021549403</v>
      </c>
      <c r="H50" s="16">
        <v>327.67758576914537</v>
      </c>
      <c r="I50" s="16">
        <v>331.9164813227967</v>
      </c>
      <c r="J50" s="16">
        <v>336.15537687644803</v>
      </c>
      <c r="K50" s="16">
        <v>340.39427243009936</v>
      </c>
      <c r="L50" s="16">
        <v>344.6331679837507</v>
      </c>
      <c r="M50" s="16">
        <v>348.87206353740203</v>
      </c>
      <c r="N50" s="16">
        <v>353.11095909105336</v>
      </c>
    </row>
    <row r="51" spans="1:14" ht="20.25" customHeight="1" x14ac:dyDescent="0.3">
      <c r="A51" s="15" t="s">
        <v>210</v>
      </c>
      <c r="B51" s="15" t="s">
        <v>211</v>
      </c>
      <c r="C51" s="16">
        <v>202.75969564251483</v>
      </c>
      <c r="D51" s="16">
        <v>205.3525700593481</v>
      </c>
      <c r="E51" s="16">
        <v>207.94544447618139</v>
      </c>
      <c r="F51" s="16">
        <v>210.53831889301466</v>
      </c>
      <c r="G51" s="16">
        <v>213.13119330984796</v>
      </c>
      <c r="H51" s="16">
        <v>215.72406772668126</v>
      </c>
      <c r="I51" s="16">
        <v>218.31694214351452</v>
      </c>
      <c r="J51" s="16">
        <v>220.90981656034779</v>
      </c>
      <c r="K51" s="16">
        <v>223.50269097718109</v>
      </c>
      <c r="L51" s="16">
        <v>226.09556539401439</v>
      </c>
      <c r="M51" s="16">
        <v>228.68843981084765</v>
      </c>
      <c r="N51" s="16">
        <v>231.28131422768092</v>
      </c>
    </row>
    <row r="52" spans="1:14" ht="20.25" customHeight="1" x14ac:dyDescent="0.3">
      <c r="A52" s="15" t="s">
        <v>212</v>
      </c>
      <c r="B52" s="15" t="s">
        <v>213</v>
      </c>
      <c r="C52" s="16">
        <v>90.668860484306066</v>
      </c>
      <c r="D52" s="16">
        <v>92.02693722428512</v>
      </c>
      <c r="E52" s="16">
        <v>93.385013964264175</v>
      </c>
      <c r="F52" s="16">
        <v>94.74309070424323</v>
      </c>
      <c r="G52" s="16">
        <v>96.101167444222284</v>
      </c>
      <c r="H52" s="16">
        <v>97.459244184201339</v>
      </c>
      <c r="I52" s="16">
        <v>98.817320924180393</v>
      </c>
      <c r="J52" s="16">
        <v>100.17539766415945</v>
      </c>
      <c r="K52" s="16">
        <v>101.5334744041385</v>
      </c>
      <c r="L52" s="16">
        <v>102.89155114411756</v>
      </c>
      <c r="M52" s="16">
        <v>104.24962788409661</v>
      </c>
      <c r="N52" s="16">
        <v>105.60770462407567</v>
      </c>
    </row>
    <row r="53" spans="1:14" ht="20.25" customHeight="1" x14ac:dyDescent="0.3">
      <c r="A53" s="15" t="s">
        <v>214</v>
      </c>
      <c r="B53" s="15" t="s">
        <v>215</v>
      </c>
      <c r="C53" s="16">
        <v>243.4567107810467</v>
      </c>
      <c r="D53" s="16">
        <v>245.86312418674029</v>
      </c>
      <c r="E53" s="16">
        <v>248.26953759243389</v>
      </c>
      <c r="F53" s="16">
        <v>250.67595099812752</v>
      </c>
      <c r="G53" s="16">
        <v>253.08236440382115</v>
      </c>
      <c r="H53" s="16">
        <v>255.48877780951474</v>
      </c>
      <c r="I53" s="16">
        <v>257.89519121520834</v>
      </c>
      <c r="J53" s="16">
        <v>260.30160462090197</v>
      </c>
      <c r="K53" s="16">
        <v>262.7080180265956</v>
      </c>
      <c r="L53" s="16">
        <v>265.11443143228917</v>
      </c>
      <c r="M53" s="16">
        <v>267.52084483798279</v>
      </c>
      <c r="N53" s="16">
        <v>269.92725824367642</v>
      </c>
    </row>
    <row r="54" spans="1:14" ht="20.25" customHeight="1" x14ac:dyDescent="0.3">
      <c r="A54" s="15" t="s">
        <v>216</v>
      </c>
      <c r="B54" s="15" t="s">
        <v>217</v>
      </c>
      <c r="C54" s="16">
        <v>270.0745871549928</v>
      </c>
      <c r="D54" s="16">
        <v>272.54195330434692</v>
      </c>
      <c r="E54" s="16">
        <v>275.0093194537011</v>
      </c>
      <c r="F54" s="16">
        <v>277.47668560305522</v>
      </c>
      <c r="G54" s="16">
        <v>279.94405175240939</v>
      </c>
      <c r="H54" s="16">
        <v>282.41141790176357</v>
      </c>
      <c r="I54" s="16">
        <v>284.87878405111769</v>
      </c>
      <c r="J54" s="16">
        <v>287.34615020047187</v>
      </c>
      <c r="K54" s="16">
        <v>289.81351634982605</v>
      </c>
      <c r="L54" s="16">
        <v>292.28088249918017</v>
      </c>
      <c r="M54" s="16">
        <v>294.74824864853434</v>
      </c>
      <c r="N54" s="16">
        <v>297.21561479788852</v>
      </c>
    </row>
  </sheetData>
  <mergeCells count="3">
    <mergeCell ref="A1:A2"/>
    <mergeCell ref="B1:B2"/>
    <mergeCell ref="C1:N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실전문제08_5_1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419100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54"/>
  <sheetViews>
    <sheetView workbookViewId="0">
      <selection activeCell="H14" sqref="H14"/>
    </sheetView>
  </sheetViews>
  <sheetFormatPr defaultRowHeight="21" customHeight="1" x14ac:dyDescent="0.3"/>
  <cols>
    <col min="1" max="1" width="10.875" style="1" bestFit="1" customWidth="1"/>
    <col min="2" max="2" width="26.5" style="1" customWidth="1"/>
    <col min="3" max="6" width="10.75" style="1" customWidth="1"/>
    <col min="29" max="16384" width="9" style="1"/>
  </cols>
  <sheetData>
    <row r="1" spans="1:28" ht="21" customHeight="1" x14ac:dyDescent="0.3">
      <c r="A1" s="13" t="s">
        <v>0</v>
      </c>
      <c r="B1" s="13" t="s">
        <v>1</v>
      </c>
      <c r="C1" s="4" t="s">
        <v>110</v>
      </c>
      <c r="D1" s="4" t="s">
        <v>111</v>
      </c>
      <c r="E1" s="4" t="s">
        <v>221</v>
      </c>
      <c r="F1" s="4" t="s">
        <v>222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ht="21" customHeight="1" x14ac:dyDescent="0.3">
      <c r="A2" s="2" t="s">
        <v>3</v>
      </c>
      <c r="B2" s="2" t="s">
        <v>56</v>
      </c>
      <c r="C2" s="14">
        <v>0.02</v>
      </c>
      <c r="D2" s="3">
        <v>14</v>
      </c>
      <c r="E2" s="3">
        <v>151.19999999999999</v>
      </c>
      <c r="F2" s="3">
        <v>600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 ht="21" customHeight="1" x14ac:dyDescent="0.3">
      <c r="A3" s="2" t="s">
        <v>4</v>
      </c>
      <c r="B3" s="2" t="s">
        <v>57</v>
      </c>
      <c r="C3" s="14">
        <v>1.4999999999999999E-2</v>
      </c>
      <c r="D3" s="3">
        <v>7</v>
      </c>
      <c r="E3" s="3">
        <v>74.400000000000006</v>
      </c>
      <c r="F3" s="3">
        <v>300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 ht="21" customHeight="1" x14ac:dyDescent="0.3">
      <c r="A4" s="2" t="s">
        <v>5</v>
      </c>
      <c r="B4" s="2" t="s">
        <v>58</v>
      </c>
      <c r="C4" s="14">
        <v>0.02</v>
      </c>
      <c r="D4" s="3">
        <v>12</v>
      </c>
      <c r="E4" s="3">
        <v>21.8</v>
      </c>
      <c r="F4" s="3">
        <v>100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21" customHeight="1" x14ac:dyDescent="0.3">
      <c r="A5" s="2" t="s">
        <v>6</v>
      </c>
      <c r="B5" s="2" t="s">
        <v>59</v>
      </c>
      <c r="C5" s="14">
        <v>1.7999999999999999E-2</v>
      </c>
      <c r="D5" s="3">
        <v>10</v>
      </c>
      <c r="E5" s="3">
        <v>45.2</v>
      </c>
      <c r="F5" s="3">
        <v>300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 ht="21" customHeight="1" x14ac:dyDescent="0.3">
      <c r="A6" s="2" t="s">
        <v>12</v>
      </c>
      <c r="B6" s="2" t="s">
        <v>65</v>
      </c>
      <c r="C6" s="14">
        <v>3.1E-2</v>
      </c>
      <c r="D6" s="3">
        <v>7</v>
      </c>
      <c r="E6" s="3">
        <v>17.8</v>
      </c>
      <c r="F6" s="3">
        <v>100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21" customHeight="1" x14ac:dyDescent="0.3">
      <c r="A7" s="2" t="s">
        <v>13</v>
      </c>
      <c r="B7" s="2" t="s">
        <v>66</v>
      </c>
      <c r="C7" s="14">
        <v>2.1999999999999999E-2</v>
      </c>
      <c r="D7" s="3">
        <v>12</v>
      </c>
      <c r="E7" s="3">
        <v>99.4</v>
      </c>
      <c r="F7" s="3">
        <v>500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 ht="21" customHeight="1" x14ac:dyDescent="0.3">
      <c r="A8" s="2" t="s">
        <v>14</v>
      </c>
      <c r="B8" s="2" t="s">
        <v>67</v>
      </c>
      <c r="C8" s="14">
        <v>2.5000000000000001E-2</v>
      </c>
      <c r="D8" s="3">
        <v>10</v>
      </c>
      <c r="E8" s="3">
        <v>253.4</v>
      </c>
      <c r="F8" s="3">
        <v>1000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21" customHeight="1" x14ac:dyDescent="0.3">
      <c r="A9" s="2" t="s">
        <v>15</v>
      </c>
      <c r="B9" s="2" t="s">
        <v>68</v>
      </c>
      <c r="C9" s="14">
        <v>1.2E-2</v>
      </c>
      <c r="D9" s="3">
        <v>15</v>
      </c>
      <c r="E9" s="3">
        <v>44.8</v>
      </c>
      <c r="F9" s="3">
        <v>200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 ht="21" customHeight="1" x14ac:dyDescent="0.3">
      <c r="A10" s="2" t="s">
        <v>42</v>
      </c>
      <c r="B10" s="2" t="s">
        <v>95</v>
      </c>
      <c r="C10" s="14">
        <v>0.01</v>
      </c>
      <c r="D10" s="3">
        <v>7</v>
      </c>
      <c r="E10" s="3">
        <v>19.8</v>
      </c>
      <c r="F10" s="3">
        <v>200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 ht="21" customHeight="1" x14ac:dyDescent="0.3">
      <c r="A11" s="2" t="s">
        <v>43</v>
      </c>
      <c r="B11" s="2" t="s">
        <v>96</v>
      </c>
      <c r="C11" s="14">
        <v>1.6E-2</v>
      </c>
      <c r="D11" s="3">
        <v>12</v>
      </c>
      <c r="E11" s="3">
        <v>76.599999999999994</v>
      </c>
      <c r="F11" s="3">
        <v>200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 ht="21" customHeight="1" x14ac:dyDescent="0.3">
      <c r="A12" s="2" t="s">
        <v>44</v>
      </c>
      <c r="B12" s="2" t="s">
        <v>97</v>
      </c>
      <c r="C12" s="14">
        <v>2.1000000000000001E-2</v>
      </c>
      <c r="D12" s="3">
        <v>10</v>
      </c>
      <c r="E12" s="3">
        <v>69.400000000000006</v>
      </c>
      <c r="F12" s="3">
        <v>200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 ht="21" customHeight="1" x14ac:dyDescent="0.3">
      <c r="A13" s="2" t="s">
        <v>45</v>
      </c>
      <c r="B13" s="2" t="s">
        <v>98</v>
      </c>
      <c r="C13" s="14">
        <v>0.03</v>
      </c>
      <c r="D13" s="3">
        <v>15</v>
      </c>
      <c r="E13" s="3">
        <v>18</v>
      </c>
      <c r="F13" s="3">
        <v>100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 ht="21" customHeight="1" x14ac:dyDescent="0.3">
      <c r="A14" s="2" t="s">
        <v>46</v>
      </c>
      <c r="B14" s="2" t="s">
        <v>99</v>
      </c>
      <c r="C14" s="14">
        <v>3.1E-2</v>
      </c>
      <c r="D14" s="3">
        <v>5</v>
      </c>
      <c r="E14" s="3">
        <v>23.2</v>
      </c>
      <c r="F14" s="3">
        <v>100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 ht="21" customHeight="1" x14ac:dyDescent="0.3">
      <c r="A15" s="2" t="s">
        <v>47</v>
      </c>
      <c r="B15" s="2" t="s">
        <v>100</v>
      </c>
      <c r="C15" s="14">
        <v>2.5000000000000001E-2</v>
      </c>
      <c r="D15" s="3">
        <v>3</v>
      </c>
      <c r="E15" s="3">
        <v>146</v>
      </c>
      <c r="F15" s="3">
        <v>500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 ht="21" customHeight="1" x14ac:dyDescent="0.3">
      <c r="A16" s="2" t="s">
        <v>48</v>
      </c>
      <c r="B16" s="2" t="s">
        <v>101</v>
      </c>
      <c r="C16" s="14">
        <v>1.2E-2</v>
      </c>
      <c r="D16" s="3">
        <v>14</v>
      </c>
      <c r="E16" s="3">
        <v>61.6</v>
      </c>
      <c r="F16" s="3">
        <v>300</v>
      </c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 ht="21" customHeight="1" x14ac:dyDescent="0.3">
      <c r="A17" s="2" t="s">
        <v>49</v>
      </c>
      <c r="B17" s="2" t="s">
        <v>102</v>
      </c>
      <c r="C17" s="14">
        <v>0.01</v>
      </c>
      <c r="D17" s="3">
        <v>7</v>
      </c>
      <c r="E17" s="3">
        <v>58.4</v>
      </c>
      <c r="F17" s="3">
        <v>100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21" customHeight="1" x14ac:dyDescent="0.3">
      <c r="A18" s="2" t="s">
        <v>50</v>
      </c>
      <c r="B18" s="2" t="s">
        <v>103</v>
      </c>
      <c r="C18" s="14">
        <v>3.1E-2</v>
      </c>
      <c r="D18" s="3">
        <v>12</v>
      </c>
      <c r="E18" s="3">
        <v>63.4</v>
      </c>
      <c r="F18" s="3">
        <v>300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 ht="21" customHeight="1" x14ac:dyDescent="0.3">
      <c r="A19" s="2" t="s">
        <v>51</v>
      </c>
      <c r="B19" s="2" t="s">
        <v>104</v>
      </c>
      <c r="C19" s="14">
        <v>0.02</v>
      </c>
      <c r="D19" s="3">
        <v>10</v>
      </c>
      <c r="E19" s="3">
        <v>40</v>
      </c>
      <c r="F19" s="3">
        <v>200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 ht="21" customHeight="1" x14ac:dyDescent="0.3">
      <c r="A20" s="2" t="s">
        <v>52</v>
      </c>
      <c r="B20" s="2" t="s">
        <v>105</v>
      </c>
      <c r="C20" s="14">
        <v>1.4999999999999999E-2</v>
      </c>
      <c r="D20" s="3">
        <v>15</v>
      </c>
      <c r="E20" s="3">
        <v>19.2</v>
      </c>
      <c r="F20" s="3">
        <v>100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 ht="21" customHeight="1" x14ac:dyDescent="0.3">
      <c r="A21" s="2" t="s">
        <v>53</v>
      </c>
      <c r="B21" s="2" t="s">
        <v>106</v>
      </c>
      <c r="C21" s="14">
        <v>0.02</v>
      </c>
      <c r="D21" s="3">
        <v>5</v>
      </c>
      <c r="E21" s="3">
        <v>55.4</v>
      </c>
      <c r="F21" s="3">
        <v>200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 ht="21" customHeight="1" x14ac:dyDescent="0.3">
      <c r="A22" s="2" t="s">
        <v>54</v>
      </c>
      <c r="B22" s="2" t="s">
        <v>107</v>
      </c>
      <c r="C22" s="14">
        <v>1.7999999999999999E-2</v>
      </c>
      <c r="D22" s="3">
        <v>3</v>
      </c>
      <c r="E22" s="3">
        <v>81.599999999999994</v>
      </c>
      <c r="F22" s="3">
        <v>200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 ht="21" customHeight="1" x14ac:dyDescent="0.3">
      <c r="A23" s="2" t="s">
        <v>55</v>
      </c>
      <c r="B23" s="2" t="s">
        <v>108</v>
      </c>
      <c r="C23" s="14">
        <v>2.1999999999999999E-2</v>
      </c>
      <c r="D23" s="3">
        <v>10</v>
      </c>
      <c r="E23" s="3">
        <v>0</v>
      </c>
      <c r="F23" s="3">
        <v>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 ht="21" customHeight="1" x14ac:dyDescent="0.3">
      <c r="A24" s="2" t="s">
        <v>37</v>
      </c>
      <c r="B24" s="2" t="s">
        <v>90</v>
      </c>
      <c r="C24" s="14">
        <v>0.03</v>
      </c>
      <c r="D24" s="3">
        <v>3</v>
      </c>
      <c r="E24" s="3">
        <v>32</v>
      </c>
      <c r="F24" s="3">
        <v>100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ht="21" customHeight="1" x14ac:dyDescent="0.3">
      <c r="A25" s="2" t="s">
        <v>38</v>
      </c>
      <c r="B25" s="2" t="s">
        <v>91</v>
      </c>
      <c r="C25" s="14">
        <v>2.1999999999999999E-2</v>
      </c>
      <c r="D25" s="3">
        <v>14</v>
      </c>
      <c r="E25" s="3">
        <v>41.6</v>
      </c>
      <c r="F25" s="3">
        <v>200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 ht="21" customHeight="1" x14ac:dyDescent="0.3">
      <c r="A26" s="2" t="s">
        <v>39</v>
      </c>
      <c r="B26" s="2" t="s">
        <v>92</v>
      </c>
      <c r="C26" s="14">
        <v>2.3E-2</v>
      </c>
      <c r="D26" s="3">
        <v>7</v>
      </c>
      <c r="E26" s="3">
        <v>108</v>
      </c>
      <c r="F26" s="3">
        <v>500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 ht="21" customHeight="1" x14ac:dyDescent="0.3">
      <c r="A27" s="2" t="s">
        <v>40</v>
      </c>
      <c r="B27" s="2" t="s">
        <v>93</v>
      </c>
      <c r="C27" s="14">
        <v>0.03</v>
      </c>
      <c r="D27" s="3">
        <v>3</v>
      </c>
      <c r="E27" s="3">
        <v>232.4</v>
      </c>
      <c r="F27" s="3">
        <v>1000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ht="21" customHeight="1" x14ac:dyDescent="0.3">
      <c r="A28" s="2" t="s">
        <v>41</v>
      </c>
      <c r="B28" s="2" t="s">
        <v>94</v>
      </c>
      <c r="C28" s="14">
        <v>0.02</v>
      </c>
      <c r="D28" s="3">
        <v>14</v>
      </c>
      <c r="E28" s="3">
        <v>277.60000000000002</v>
      </c>
      <c r="F28" s="3">
        <v>1000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ht="21" customHeight="1" x14ac:dyDescent="0.3">
      <c r="A29" s="2" t="s">
        <v>16</v>
      </c>
      <c r="B29" s="2" t="s">
        <v>69</v>
      </c>
      <c r="C29" s="14">
        <v>0.01</v>
      </c>
      <c r="D29" s="3">
        <v>5</v>
      </c>
      <c r="E29" s="3">
        <v>264.2</v>
      </c>
      <c r="F29" s="3">
        <v>1000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 ht="21" customHeight="1" x14ac:dyDescent="0.3">
      <c r="A30" s="2" t="s">
        <v>17</v>
      </c>
      <c r="B30" s="2" t="s">
        <v>70</v>
      </c>
      <c r="C30" s="14">
        <v>0.01</v>
      </c>
      <c r="D30" s="3">
        <v>3</v>
      </c>
      <c r="E30" s="3">
        <v>142.4</v>
      </c>
      <c r="F30" s="3">
        <v>1000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 ht="21" customHeight="1" x14ac:dyDescent="0.3">
      <c r="A31" s="2" t="s">
        <v>18</v>
      </c>
      <c r="B31" s="2" t="s">
        <v>71</v>
      </c>
      <c r="C31" s="14">
        <v>3.1E-2</v>
      </c>
      <c r="D31" s="3">
        <v>10</v>
      </c>
      <c r="E31" s="3">
        <v>10.6</v>
      </c>
      <c r="F31" s="3">
        <v>100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 ht="21" customHeight="1" x14ac:dyDescent="0.3">
      <c r="A32" s="2" t="s">
        <v>19</v>
      </c>
      <c r="B32" s="2" t="s">
        <v>72</v>
      </c>
      <c r="C32" s="14">
        <v>0.02</v>
      </c>
      <c r="D32" s="3">
        <v>15</v>
      </c>
      <c r="E32" s="3">
        <v>13.4</v>
      </c>
      <c r="F32" s="3">
        <v>100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 ht="21" customHeight="1" x14ac:dyDescent="0.3">
      <c r="A33" s="2" t="s">
        <v>20</v>
      </c>
      <c r="B33" s="2" t="s">
        <v>73</v>
      </c>
      <c r="C33" s="14">
        <v>1.4999999999999999E-2</v>
      </c>
      <c r="D33" s="3">
        <v>14</v>
      </c>
      <c r="E33" s="3">
        <v>10.4</v>
      </c>
      <c r="F33" s="3">
        <v>100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 ht="21" customHeight="1" x14ac:dyDescent="0.3">
      <c r="A34" s="2" t="s">
        <v>21</v>
      </c>
      <c r="B34" s="2" t="s">
        <v>74</v>
      </c>
      <c r="C34" s="14">
        <v>0.02</v>
      </c>
      <c r="D34" s="3">
        <v>7</v>
      </c>
      <c r="E34" s="3">
        <v>54.4</v>
      </c>
      <c r="F34" s="3">
        <v>200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 ht="21" customHeight="1" x14ac:dyDescent="0.3">
      <c r="A35" s="2" t="s">
        <v>22</v>
      </c>
      <c r="B35" s="2" t="s">
        <v>75</v>
      </c>
      <c r="C35" s="14">
        <v>1.7999999999999999E-2</v>
      </c>
      <c r="D35" s="3">
        <v>12</v>
      </c>
      <c r="E35" s="3">
        <v>40.200000000000003</v>
      </c>
      <c r="F35" s="3">
        <v>200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 ht="21" customHeight="1" x14ac:dyDescent="0.3">
      <c r="A36" s="2" t="s">
        <v>29</v>
      </c>
      <c r="B36" s="2" t="s">
        <v>82</v>
      </c>
      <c r="C36" s="14">
        <v>0.01</v>
      </c>
      <c r="D36" s="3">
        <v>10</v>
      </c>
      <c r="E36" s="3">
        <v>81.8</v>
      </c>
      <c r="F36" s="3">
        <v>500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 ht="21" customHeight="1" x14ac:dyDescent="0.3">
      <c r="A37" s="2" t="s">
        <v>30</v>
      </c>
      <c r="B37" s="2" t="s">
        <v>83</v>
      </c>
      <c r="C37" s="14">
        <v>0.03</v>
      </c>
      <c r="D37" s="3">
        <v>15</v>
      </c>
      <c r="E37" s="3">
        <v>59</v>
      </c>
      <c r="F37" s="3">
        <v>300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 ht="21" customHeight="1" x14ac:dyDescent="0.3">
      <c r="A38" s="2" t="s">
        <v>31</v>
      </c>
      <c r="B38" s="2" t="s">
        <v>84</v>
      </c>
      <c r="C38" s="14">
        <v>0.02</v>
      </c>
      <c r="D38" s="3">
        <v>5</v>
      </c>
      <c r="E38" s="3">
        <v>168.8</v>
      </c>
      <c r="F38" s="3">
        <v>1000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 ht="21" customHeight="1" x14ac:dyDescent="0.3">
      <c r="A39" s="2" t="s">
        <v>32</v>
      </c>
      <c r="B39" s="2" t="s">
        <v>85</v>
      </c>
      <c r="C39" s="14">
        <v>2.1999999999999999E-2</v>
      </c>
      <c r="D39" s="3">
        <v>3</v>
      </c>
      <c r="E39" s="3">
        <v>82.2</v>
      </c>
      <c r="F39" s="3">
        <v>300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 ht="21" customHeight="1" x14ac:dyDescent="0.3">
      <c r="A40" s="2" t="s">
        <v>33</v>
      </c>
      <c r="B40" s="2" t="s">
        <v>86</v>
      </c>
      <c r="C40" s="14">
        <v>2.3E-2</v>
      </c>
      <c r="D40" s="3">
        <v>5</v>
      </c>
      <c r="E40" s="3">
        <v>69.8</v>
      </c>
      <c r="F40" s="3">
        <v>200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 ht="21" customHeight="1" x14ac:dyDescent="0.3">
      <c r="A41" s="2" t="s">
        <v>34</v>
      </c>
      <c r="B41" s="2" t="s">
        <v>87</v>
      </c>
      <c r="C41" s="14">
        <v>0.02</v>
      </c>
      <c r="D41" s="3">
        <v>7</v>
      </c>
      <c r="E41" s="3">
        <v>108.2</v>
      </c>
      <c r="F41" s="3">
        <v>500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 ht="21" customHeight="1" x14ac:dyDescent="0.3">
      <c r="A42" s="2" t="s">
        <v>35</v>
      </c>
      <c r="B42" s="2" t="s">
        <v>88</v>
      </c>
      <c r="C42" s="14">
        <v>1.7999999999999999E-2</v>
      </c>
      <c r="D42" s="3">
        <v>14</v>
      </c>
      <c r="E42" s="3">
        <v>47.4</v>
      </c>
      <c r="F42" s="3">
        <v>100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 ht="21" customHeight="1" x14ac:dyDescent="0.3">
      <c r="A43" s="2" t="s">
        <v>36</v>
      </c>
      <c r="B43" s="2" t="s">
        <v>89</v>
      </c>
      <c r="C43" s="14">
        <v>1.6E-2</v>
      </c>
      <c r="D43" s="3">
        <v>7</v>
      </c>
      <c r="E43" s="3">
        <v>40.799999999999997</v>
      </c>
      <c r="F43" s="3">
        <v>100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 ht="21" customHeight="1" x14ac:dyDescent="0.3">
      <c r="A44" s="2" t="s">
        <v>23</v>
      </c>
      <c r="B44" s="2" t="s">
        <v>76</v>
      </c>
      <c r="C44" s="14">
        <v>1.6E-2</v>
      </c>
      <c r="D44" s="3">
        <v>10</v>
      </c>
      <c r="E44" s="3">
        <v>35.6</v>
      </c>
      <c r="F44" s="3">
        <v>200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 ht="21" customHeight="1" x14ac:dyDescent="0.3">
      <c r="A45" s="2" t="s">
        <v>24</v>
      </c>
      <c r="B45" s="2" t="s">
        <v>77</v>
      </c>
      <c r="C45" s="14">
        <v>2.1000000000000001E-2</v>
      </c>
      <c r="D45" s="3">
        <v>3</v>
      </c>
      <c r="E45" s="3">
        <v>21.6</v>
      </c>
      <c r="F45" s="3">
        <v>100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 ht="21" customHeight="1" x14ac:dyDescent="0.3">
      <c r="A46" s="2" t="s">
        <v>25</v>
      </c>
      <c r="B46" s="2" t="s">
        <v>78</v>
      </c>
      <c r="C46" s="14">
        <v>0.03</v>
      </c>
      <c r="D46" s="3">
        <v>12</v>
      </c>
      <c r="E46" s="3">
        <v>51</v>
      </c>
      <c r="F46" s="3">
        <v>200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 ht="21" customHeight="1" x14ac:dyDescent="0.3">
      <c r="A47" s="2" t="s">
        <v>26</v>
      </c>
      <c r="B47" s="2" t="s">
        <v>79</v>
      </c>
      <c r="C47" s="14">
        <v>3.1E-2</v>
      </c>
      <c r="D47" s="3">
        <v>14</v>
      </c>
      <c r="E47" s="3">
        <v>62</v>
      </c>
      <c r="F47" s="3">
        <v>300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 ht="21" customHeight="1" x14ac:dyDescent="0.3">
      <c r="A48" s="2" t="s">
        <v>27</v>
      </c>
      <c r="B48" s="2" t="s">
        <v>80</v>
      </c>
      <c r="C48" s="14">
        <v>2.5000000000000001E-2</v>
      </c>
      <c r="D48" s="3">
        <v>7</v>
      </c>
      <c r="E48" s="3">
        <v>462.2</v>
      </c>
      <c r="F48" s="3">
        <v>1000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 ht="21" customHeight="1" x14ac:dyDescent="0.3">
      <c r="A49" s="2" t="s">
        <v>28</v>
      </c>
      <c r="B49" s="2" t="s">
        <v>81</v>
      </c>
      <c r="C49" s="14">
        <v>1.2E-2</v>
      </c>
      <c r="D49" s="3">
        <v>12</v>
      </c>
      <c r="E49" s="3">
        <v>396.2</v>
      </c>
      <c r="F49" s="3">
        <v>1000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 ht="21" customHeight="1" x14ac:dyDescent="0.3">
      <c r="A50" s="2" t="s">
        <v>7</v>
      </c>
      <c r="B50" s="2" t="s">
        <v>60</v>
      </c>
      <c r="C50" s="14">
        <v>0.01</v>
      </c>
      <c r="D50" s="3">
        <v>15</v>
      </c>
      <c r="E50" s="3">
        <v>24.2</v>
      </c>
      <c r="F50" s="3">
        <v>100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21" customHeight="1" x14ac:dyDescent="0.3">
      <c r="A51" s="2" t="s">
        <v>8</v>
      </c>
      <c r="B51" s="2" t="s">
        <v>61</v>
      </c>
      <c r="C51" s="14">
        <v>3.1E-2</v>
      </c>
      <c r="D51" s="3">
        <v>5</v>
      </c>
      <c r="E51" s="3">
        <v>71.400000000000006</v>
      </c>
      <c r="F51" s="3">
        <v>200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21" customHeight="1" x14ac:dyDescent="0.3">
      <c r="A52" s="2" t="s">
        <v>9</v>
      </c>
      <c r="B52" s="2" t="s">
        <v>62</v>
      </c>
      <c r="C52" s="14">
        <v>1.6E-2</v>
      </c>
      <c r="D52" s="3">
        <v>3</v>
      </c>
      <c r="E52" s="3">
        <v>58.4</v>
      </c>
      <c r="F52" s="3">
        <v>100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21" customHeight="1" x14ac:dyDescent="0.3">
      <c r="A53" s="2" t="s">
        <v>10</v>
      </c>
      <c r="B53" s="2" t="s">
        <v>63</v>
      </c>
      <c r="C53" s="14">
        <v>2.1000000000000001E-2</v>
      </c>
      <c r="D53" s="3">
        <v>15</v>
      </c>
      <c r="E53" s="3">
        <v>44.8</v>
      </c>
      <c r="F53" s="3">
        <v>200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21" customHeight="1" x14ac:dyDescent="0.3">
      <c r="A54" s="2" t="s">
        <v>11</v>
      </c>
      <c r="B54" s="2" t="s">
        <v>64</v>
      </c>
      <c r="C54" s="14">
        <v>0.03</v>
      </c>
      <c r="D54" s="3">
        <v>14</v>
      </c>
      <c r="E54" s="3">
        <v>64.8</v>
      </c>
      <c r="F54" s="3">
        <v>200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2"/>
  <sheetViews>
    <sheetView workbookViewId="0">
      <selection activeCell="D9" sqref="D9"/>
    </sheetView>
  </sheetViews>
  <sheetFormatPr defaultRowHeight="23.25" customHeight="1" x14ac:dyDescent="0.3"/>
  <cols>
    <col min="1" max="1" width="13.5" customWidth="1"/>
    <col min="2" max="2" width="30" bestFit="1" customWidth="1"/>
    <col min="3" max="6" width="14.25" style="8" customWidth="1"/>
    <col min="7" max="9" width="14.5" style="8" customWidth="1"/>
  </cols>
  <sheetData>
    <row r="1" spans="1:9" ht="23.25" customHeight="1" x14ac:dyDescent="0.3">
      <c r="A1" s="20" t="s">
        <v>0</v>
      </c>
      <c r="B1" s="20" t="s">
        <v>1</v>
      </c>
      <c r="C1" s="23"/>
      <c r="D1" s="23"/>
      <c r="E1" s="23"/>
      <c r="F1" s="23"/>
      <c r="G1" s="24"/>
      <c r="H1" s="25"/>
      <c r="I1" s="26"/>
    </row>
    <row r="2" spans="1:9" ht="23.25" customHeight="1" x14ac:dyDescent="0.3">
      <c r="A2" s="20"/>
      <c r="B2" s="20"/>
      <c r="C2" s="17" t="s">
        <v>113</v>
      </c>
      <c r="D2" s="18" t="s">
        <v>111</v>
      </c>
      <c r="E2" s="18" t="s">
        <v>110</v>
      </c>
      <c r="F2" s="18" t="s">
        <v>112</v>
      </c>
      <c r="G2" s="19" t="s">
        <v>220</v>
      </c>
      <c r="H2" s="19" t="s">
        <v>219</v>
      </c>
      <c r="I2" s="19" t="s">
        <v>218</v>
      </c>
    </row>
  </sheetData>
  <mergeCells count="4">
    <mergeCell ref="B1:B2"/>
    <mergeCell ref="A1:A2"/>
    <mergeCell ref="C1:F1"/>
    <mergeCell ref="G1:I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실전문제08_7_1">
                <anchor moveWithCells="1">
                  <from>
                    <xdr:col>2</xdr:col>
                    <xdr:colOff>38100</xdr:colOff>
                    <xdr:row>0</xdr:row>
                    <xdr:rowOff>38100</xdr:rowOff>
                  </from>
                  <to>
                    <xdr:col>3</xdr:col>
                    <xdr:colOff>209550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실전문제08_7_2">
                <anchor moveWithCells="1">
                  <from>
                    <xdr:col>6</xdr:col>
                    <xdr:colOff>9525</xdr:colOff>
                    <xdr:row>0</xdr:row>
                    <xdr:rowOff>38100</xdr:rowOff>
                  </from>
                  <to>
                    <xdr:col>7</xdr:col>
                    <xdr:colOff>590550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PLUSSTAR</dc:creator>
  <cp:lastModifiedBy>PLUSSTAR</cp:lastModifiedBy>
  <dcterms:created xsi:type="dcterms:W3CDTF">2019-06-30T07:18:25Z</dcterms:created>
  <dcterms:modified xsi:type="dcterms:W3CDTF">2019-10-05T10:14:05Z</dcterms:modified>
</cp:coreProperties>
</file>